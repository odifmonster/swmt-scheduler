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awmutcorp.sharepoint.com/sites/SupplyChain/Shared Documents/PA Supply/Lamination demand planning/"/>
    </mc:Choice>
  </mc:AlternateContent>
  <xr:revisionPtr revIDLastSave="0" documentId="8_{8FEFEA22-D026-4291-AC33-2601E35DCA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mand Planning20230927" sheetId="1" r:id="rId1"/>
    <sheet name="Adaptive" sheetId="2" r:id="rId2"/>
  </sheets>
  <externalReferences>
    <externalReference r:id="rId3"/>
  </externalReferences>
  <definedNames>
    <definedName name="_xlnm._FilterDatabase" localSheetId="0" hidden="1">'Demand Planning20230927'!$A$8:$AO$104</definedName>
  </definedNames>
  <calcPr calcId="191028"/>
  <pivotCaches>
    <pivotCache cacheId="55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8" i="1" l="1"/>
  <c r="N106" i="1"/>
  <c r="O106" i="1"/>
  <c r="P106" i="1"/>
  <c r="M106" i="1"/>
  <c r="H106" i="1"/>
  <c r="G106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9" i="1"/>
  <c r="Z10" i="1"/>
  <c r="Z11" i="1"/>
  <c r="Z12" i="1"/>
  <c r="Z13" i="1"/>
  <c r="Z14" i="1"/>
  <c r="Z15" i="1"/>
  <c r="Z16" i="1"/>
  <c r="Z17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6" i="1" l="1"/>
  <c r="AF5" i="1"/>
  <c r="AF1" i="1" s="1"/>
  <c r="AG5" i="1"/>
  <c r="AH5" i="1"/>
  <c r="AI5" i="1"/>
  <c r="AJ5" i="1"/>
  <c r="AK5" i="1"/>
  <c r="AK1" i="1" s="1"/>
  <c r="AL5" i="1"/>
  <c r="AL1" i="1" s="1"/>
  <c r="AE5" i="1"/>
  <c r="Q9" i="1"/>
  <c r="R9" i="1"/>
  <c r="S9" i="1"/>
  <c r="T9" i="1"/>
  <c r="U9" i="1"/>
  <c r="V9" i="1"/>
  <c r="W9" i="1"/>
  <c r="X9" i="1"/>
  <c r="Y9" i="1"/>
  <c r="AA9" i="1"/>
  <c r="Q10" i="1"/>
  <c r="R10" i="1"/>
  <c r="S10" i="1"/>
  <c r="T10" i="1"/>
  <c r="U10" i="1"/>
  <c r="V10" i="1"/>
  <c r="W10" i="1"/>
  <c r="X10" i="1"/>
  <c r="Y10" i="1"/>
  <c r="AA10" i="1"/>
  <c r="Q11" i="1"/>
  <c r="R11" i="1"/>
  <c r="S11" i="1"/>
  <c r="T11" i="1"/>
  <c r="U11" i="1"/>
  <c r="V11" i="1"/>
  <c r="W11" i="1"/>
  <c r="X11" i="1"/>
  <c r="Y11" i="1"/>
  <c r="AA11" i="1"/>
  <c r="Q12" i="1"/>
  <c r="R12" i="1"/>
  <c r="S12" i="1"/>
  <c r="T12" i="1"/>
  <c r="U12" i="1"/>
  <c r="V12" i="1"/>
  <c r="W12" i="1"/>
  <c r="X12" i="1"/>
  <c r="Y12" i="1"/>
  <c r="AA12" i="1"/>
  <c r="Q13" i="1"/>
  <c r="R13" i="1"/>
  <c r="S13" i="1"/>
  <c r="T13" i="1"/>
  <c r="U13" i="1"/>
  <c r="V13" i="1"/>
  <c r="W13" i="1"/>
  <c r="X13" i="1"/>
  <c r="Y13" i="1"/>
  <c r="AA13" i="1"/>
  <c r="Q14" i="1"/>
  <c r="R14" i="1"/>
  <c r="S14" i="1"/>
  <c r="T14" i="1"/>
  <c r="U14" i="1"/>
  <c r="V14" i="1"/>
  <c r="W14" i="1"/>
  <c r="X14" i="1"/>
  <c r="Y14" i="1"/>
  <c r="AA14" i="1"/>
  <c r="Q15" i="1"/>
  <c r="R15" i="1"/>
  <c r="S15" i="1"/>
  <c r="T15" i="1"/>
  <c r="U15" i="1"/>
  <c r="V15" i="1"/>
  <c r="W15" i="1"/>
  <c r="X15" i="1"/>
  <c r="Y15" i="1"/>
  <c r="AA15" i="1"/>
  <c r="Q16" i="1"/>
  <c r="R16" i="1"/>
  <c r="S16" i="1"/>
  <c r="T16" i="1"/>
  <c r="U16" i="1"/>
  <c r="V16" i="1"/>
  <c r="W16" i="1"/>
  <c r="X16" i="1"/>
  <c r="Y16" i="1"/>
  <c r="AA16" i="1"/>
  <c r="Q17" i="1"/>
  <c r="R17" i="1"/>
  <c r="S17" i="1"/>
  <c r="T17" i="1"/>
  <c r="U17" i="1"/>
  <c r="V17" i="1"/>
  <c r="W17" i="1"/>
  <c r="X17" i="1"/>
  <c r="Y17" i="1"/>
  <c r="AA17" i="1"/>
  <c r="Q18" i="1"/>
  <c r="R18" i="1"/>
  <c r="S18" i="1"/>
  <c r="T18" i="1"/>
  <c r="U18" i="1"/>
  <c r="V18" i="1"/>
  <c r="W18" i="1"/>
  <c r="X18" i="1"/>
  <c r="Y18" i="1"/>
  <c r="Q19" i="1"/>
  <c r="R19" i="1"/>
  <c r="S19" i="1"/>
  <c r="T19" i="1"/>
  <c r="U19" i="1"/>
  <c r="V19" i="1"/>
  <c r="W19" i="1"/>
  <c r="X19" i="1"/>
  <c r="Y19" i="1"/>
  <c r="AA19" i="1"/>
  <c r="Q20" i="1"/>
  <c r="R20" i="1"/>
  <c r="S20" i="1"/>
  <c r="T20" i="1"/>
  <c r="U20" i="1"/>
  <c r="V20" i="1"/>
  <c r="W20" i="1"/>
  <c r="X20" i="1"/>
  <c r="Y20" i="1"/>
  <c r="Q21" i="1"/>
  <c r="R21" i="1"/>
  <c r="S21" i="1"/>
  <c r="T21" i="1"/>
  <c r="U21" i="1"/>
  <c r="V21" i="1"/>
  <c r="W21" i="1"/>
  <c r="X21" i="1"/>
  <c r="Y21" i="1"/>
  <c r="AA21" i="1"/>
  <c r="Q22" i="1"/>
  <c r="R22" i="1"/>
  <c r="S22" i="1"/>
  <c r="T22" i="1"/>
  <c r="U22" i="1"/>
  <c r="V22" i="1"/>
  <c r="W22" i="1"/>
  <c r="X22" i="1"/>
  <c r="Y22" i="1"/>
  <c r="AA22" i="1"/>
  <c r="Q23" i="1"/>
  <c r="R23" i="1"/>
  <c r="S23" i="1"/>
  <c r="T23" i="1"/>
  <c r="U23" i="1"/>
  <c r="V23" i="1"/>
  <c r="W23" i="1"/>
  <c r="X23" i="1"/>
  <c r="Y23" i="1"/>
  <c r="AA23" i="1"/>
  <c r="Q24" i="1"/>
  <c r="R24" i="1"/>
  <c r="S24" i="1"/>
  <c r="T24" i="1"/>
  <c r="U24" i="1"/>
  <c r="V24" i="1"/>
  <c r="W24" i="1"/>
  <c r="X24" i="1"/>
  <c r="Y24" i="1"/>
  <c r="AA24" i="1"/>
  <c r="Q25" i="1"/>
  <c r="R25" i="1"/>
  <c r="S25" i="1"/>
  <c r="T25" i="1"/>
  <c r="U25" i="1"/>
  <c r="V25" i="1"/>
  <c r="W25" i="1"/>
  <c r="X25" i="1"/>
  <c r="Y25" i="1"/>
  <c r="AA25" i="1"/>
  <c r="Q26" i="1"/>
  <c r="R26" i="1"/>
  <c r="S26" i="1"/>
  <c r="T26" i="1"/>
  <c r="U26" i="1"/>
  <c r="V26" i="1"/>
  <c r="W26" i="1"/>
  <c r="X26" i="1"/>
  <c r="Y26" i="1"/>
  <c r="AA26" i="1"/>
  <c r="Q27" i="1"/>
  <c r="R27" i="1"/>
  <c r="S27" i="1"/>
  <c r="T27" i="1"/>
  <c r="U27" i="1"/>
  <c r="V27" i="1"/>
  <c r="W27" i="1"/>
  <c r="X27" i="1"/>
  <c r="Y27" i="1"/>
  <c r="AA27" i="1"/>
  <c r="Q28" i="1"/>
  <c r="R28" i="1"/>
  <c r="S28" i="1"/>
  <c r="T28" i="1"/>
  <c r="U28" i="1"/>
  <c r="V28" i="1"/>
  <c r="W28" i="1"/>
  <c r="X28" i="1"/>
  <c r="Y28" i="1"/>
  <c r="AA28" i="1"/>
  <c r="Q29" i="1"/>
  <c r="R29" i="1"/>
  <c r="S29" i="1"/>
  <c r="T29" i="1"/>
  <c r="U29" i="1"/>
  <c r="V29" i="1"/>
  <c r="W29" i="1"/>
  <c r="X29" i="1"/>
  <c r="Y29" i="1"/>
  <c r="AA29" i="1"/>
  <c r="Q30" i="1"/>
  <c r="R30" i="1"/>
  <c r="S30" i="1"/>
  <c r="T30" i="1"/>
  <c r="U30" i="1"/>
  <c r="V30" i="1"/>
  <c r="W30" i="1"/>
  <c r="X30" i="1"/>
  <c r="Y30" i="1"/>
  <c r="AA30" i="1"/>
  <c r="Q31" i="1"/>
  <c r="R31" i="1"/>
  <c r="S31" i="1"/>
  <c r="T31" i="1"/>
  <c r="U31" i="1"/>
  <c r="V31" i="1"/>
  <c r="W31" i="1"/>
  <c r="X31" i="1"/>
  <c r="Y31" i="1"/>
  <c r="AA31" i="1"/>
  <c r="Q32" i="1"/>
  <c r="R32" i="1"/>
  <c r="S32" i="1"/>
  <c r="T32" i="1"/>
  <c r="U32" i="1"/>
  <c r="V32" i="1"/>
  <c r="W32" i="1"/>
  <c r="X32" i="1"/>
  <c r="Y32" i="1"/>
  <c r="AA32" i="1"/>
  <c r="Q33" i="1"/>
  <c r="R33" i="1"/>
  <c r="S33" i="1"/>
  <c r="T33" i="1"/>
  <c r="U33" i="1"/>
  <c r="V33" i="1"/>
  <c r="W33" i="1"/>
  <c r="X33" i="1"/>
  <c r="Y33" i="1"/>
  <c r="AA33" i="1"/>
  <c r="Q34" i="1"/>
  <c r="R34" i="1"/>
  <c r="S34" i="1"/>
  <c r="T34" i="1"/>
  <c r="U34" i="1"/>
  <c r="V34" i="1"/>
  <c r="W34" i="1"/>
  <c r="X34" i="1"/>
  <c r="Y34" i="1"/>
  <c r="AA34" i="1"/>
  <c r="Q35" i="1"/>
  <c r="R35" i="1"/>
  <c r="S35" i="1"/>
  <c r="T35" i="1"/>
  <c r="U35" i="1"/>
  <c r="V35" i="1"/>
  <c r="W35" i="1"/>
  <c r="X35" i="1"/>
  <c r="Y35" i="1"/>
  <c r="AA35" i="1"/>
  <c r="Q36" i="1"/>
  <c r="R36" i="1"/>
  <c r="S36" i="1"/>
  <c r="T36" i="1"/>
  <c r="U36" i="1"/>
  <c r="V36" i="1"/>
  <c r="W36" i="1"/>
  <c r="X36" i="1"/>
  <c r="Y36" i="1"/>
  <c r="AA36" i="1"/>
  <c r="Q37" i="1"/>
  <c r="R37" i="1"/>
  <c r="S37" i="1"/>
  <c r="T37" i="1"/>
  <c r="U37" i="1"/>
  <c r="V37" i="1"/>
  <c r="W37" i="1"/>
  <c r="X37" i="1"/>
  <c r="Y37" i="1"/>
  <c r="AA37" i="1"/>
  <c r="Q38" i="1"/>
  <c r="R38" i="1"/>
  <c r="S38" i="1"/>
  <c r="T38" i="1"/>
  <c r="U38" i="1"/>
  <c r="V38" i="1"/>
  <c r="W38" i="1"/>
  <c r="X38" i="1"/>
  <c r="Y38" i="1"/>
  <c r="AA38" i="1"/>
  <c r="Q39" i="1"/>
  <c r="R39" i="1"/>
  <c r="S39" i="1"/>
  <c r="T39" i="1"/>
  <c r="U39" i="1"/>
  <c r="V39" i="1"/>
  <c r="W39" i="1"/>
  <c r="X39" i="1"/>
  <c r="Y39" i="1"/>
  <c r="AA39" i="1"/>
  <c r="Q40" i="1"/>
  <c r="R40" i="1"/>
  <c r="S40" i="1"/>
  <c r="T40" i="1"/>
  <c r="U40" i="1"/>
  <c r="V40" i="1"/>
  <c r="W40" i="1"/>
  <c r="X40" i="1"/>
  <c r="Y40" i="1"/>
  <c r="AA40" i="1"/>
  <c r="Q41" i="1"/>
  <c r="R41" i="1"/>
  <c r="S41" i="1"/>
  <c r="T41" i="1"/>
  <c r="U41" i="1"/>
  <c r="V41" i="1"/>
  <c r="W41" i="1"/>
  <c r="X41" i="1"/>
  <c r="Y41" i="1"/>
  <c r="AA41" i="1"/>
  <c r="Q42" i="1"/>
  <c r="R42" i="1"/>
  <c r="S42" i="1"/>
  <c r="T42" i="1"/>
  <c r="U42" i="1"/>
  <c r="V42" i="1"/>
  <c r="W42" i="1"/>
  <c r="X42" i="1"/>
  <c r="Y42" i="1"/>
  <c r="AA42" i="1"/>
  <c r="Q43" i="1"/>
  <c r="R43" i="1"/>
  <c r="S43" i="1"/>
  <c r="T43" i="1"/>
  <c r="U43" i="1"/>
  <c r="V43" i="1"/>
  <c r="W43" i="1"/>
  <c r="X43" i="1"/>
  <c r="Y43" i="1"/>
  <c r="AA43" i="1"/>
  <c r="Q44" i="1"/>
  <c r="R44" i="1"/>
  <c r="S44" i="1"/>
  <c r="T44" i="1"/>
  <c r="U44" i="1"/>
  <c r="V44" i="1"/>
  <c r="W44" i="1"/>
  <c r="X44" i="1"/>
  <c r="Y44" i="1"/>
  <c r="AA44" i="1"/>
  <c r="Q45" i="1"/>
  <c r="R45" i="1"/>
  <c r="S45" i="1"/>
  <c r="T45" i="1"/>
  <c r="U45" i="1"/>
  <c r="V45" i="1"/>
  <c r="W45" i="1"/>
  <c r="X45" i="1"/>
  <c r="Y45" i="1"/>
  <c r="AA45" i="1"/>
  <c r="Q46" i="1"/>
  <c r="R46" i="1"/>
  <c r="S46" i="1"/>
  <c r="T46" i="1"/>
  <c r="U46" i="1"/>
  <c r="V46" i="1"/>
  <c r="W46" i="1"/>
  <c r="X46" i="1"/>
  <c r="Y46" i="1"/>
  <c r="AA46" i="1"/>
  <c r="Q47" i="1"/>
  <c r="R47" i="1"/>
  <c r="S47" i="1"/>
  <c r="T47" i="1"/>
  <c r="U47" i="1"/>
  <c r="V47" i="1"/>
  <c r="W47" i="1"/>
  <c r="X47" i="1"/>
  <c r="Y47" i="1"/>
  <c r="AA47" i="1"/>
  <c r="Q48" i="1"/>
  <c r="R48" i="1"/>
  <c r="S48" i="1"/>
  <c r="T48" i="1"/>
  <c r="U48" i="1"/>
  <c r="V48" i="1"/>
  <c r="W48" i="1"/>
  <c r="X48" i="1"/>
  <c r="Y48" i="1"/>
  <c r="AA48" i="1"/>
  <c r="Q49" i="1"/>
  <c r="R49" i="1"/>
  <c r="S49" i="1"/>
  <c r="T49" i="1"/>
  <c r="U49" i="1"/>
  <c r="V49" i="1"/>
  <c r="W49" i="1"/>
  <c r="X49" i="1"/>
  <c r="Y49" i="1"/>
  <c r="AA49" i="1"/>
  <c r="Q50" i="1"/>
  <c r="R50" i="1"/>
  <c r="S50" i="1"/>
  <c r="T50" i="1"/>
  <c r="U50" i="1"/>
  <c r="V50" i="1"/>
  <c r="W50" i="1"/>
  <c r="X50" i="1"/>
  <c r="Y50" i="1"/>
  <c r="AA50" i="1"/>
  <c r="Q51" i="1"/>
  <c r="R51" i="1"/>
  <c r="S51" i="1"/>
  <c r="T51" i="1"/>
  <c r="U51" i="1"/>
  <c r="V51" i="1"/>
  <c r="W51" i="1"/>
  <c r="X51" i="1"/>
  <c r="Y51" i="1"/>
  <c r="AA51" i="1"/>
  <c r="Q52" i="1"/>
  <c r="R52" i="1"/>
  <c r="S52" i="1"/>
  <c r="T52" i="1"/>
  <c r="U52" i="1"/>
  <c r="V52" i="1"/>
  <c r="W52" i="1"/>
  <c r="X52" i="1"/>
  <c r="Y52" i="1"/>
  <c r="AA52" i="1"/>
  <c r="Q53" i="1"/>
  <c r="R53" i="1"/>
  <c r="S53" i="1"/>
  <c r="T53" i="1"/>
  <c r="U53" i="1"/>
  <c r="V53" i="1"/>
  <c r="W53" i="1"/>
  <c r="X53" i="1"/>
  <c r="Y53" i="1"/>
  <c r="AA53" i="1"/>
  <c r="Q54" i="1"/>
  <c r="R54" i="1"/>
  <c r="S54" i="1"/>
  <c r="T54" i="1"/>
  <c r="U54" i="1"/>
  <c r="V54" i="1"/>
  <c r="W54" i="1"/>
  <c r="X54" i="1"/>
  <c r="Y54" i="1"/>
  <c r="AA54" i="1"/>
  <c r="Q55" i="1"/>
  <c r="R55" i="1"/>
  <c r="S55" i="1"/>
  <c r="T55" i="1"/>
  <c r="U55" i="1"/>
  <c r="V55" i="1"/>
  <c r="W55" i="1"/>
  <c r="X55" i="1"/>
  <c r="Y55" i="1"/>
  <c r="AA55" i="1"/>
  <c r="Q56" i="1"/>
  <c r="R56" i="1"/>
  <c r="S56" i="1"/>
  <c r="T56" i="1"/>
  <c r="U56" i="1"/>
  <c r="V56" i="1"/>
  <c r="W56" i="1"/>
  <c r="X56" i="1"/>
  <c r="Y56" i="1"/>
  <c r="AA56" i="1"/>
  <c r="Q57" i="1"/>
  <c r="R57" i="1"/>
  <c r="S57" i="1"/>
  <c r="T57" i="1"/>
  <c r="U57" i="1"/>
  <c r="V57" i="1"/>
  <c r="W57" i="1"/>
  <c r="X57" i="1"/>
  <c r="Y57" i="1"/>
  <c r="AA57" i="1"/>
  <c r="Q58" i="1"/>
  <c r="R58" i="1"/>
  <c r="S58" i="1"/>
  <c r="T58" i="1"/>
  <c r="U58" i="1"/>
  <c r="V58" i="1"/>
  <c r="W58" i="1"/>
  <c r="X58" i="1"/>
  <c r="Y58" i="1"/>
  <c r="AA58" i="1"/>
  <c r="Q59" i="1"/>
  <c r="R59" i="1"/>
  <c r="S59" i="1"/>
  <c r="T59" i="1"/>
  <c r="U59" i="1"/>
  <c r="V59" i="1"/>
  <c r="W59" i="1"/>
  <c r="X59" i="1"/>
  <c r="Y59" i="1"/>
  <c r="AA59" i="1"/>
  <c r="Q60" i="1"/>
  <c r="R60" i="1"/>
  <c r="S60" i="1"/>
  <c r="T60" i="1"/>
  <c r="U60" i="1"/>
  <c r="V60" i="1"/>
  <c r="W60" i="1"/>
  <c r="X60" i="1"/>
  <c r="Y60" i="1"/>
  <c r="AA60" i="1"/>
  <c r="AB60" i="1" s="1"/>
  <c r="AC60" i="1" s="1"/>
  <c r="AN60" i="1" s="1"/>
  <c r="Q61" i="1"/>
  <c r="R61" i="1"/>
  <c r="S61" i="1"/>
  <c r="T61" i="1"/>
  <c r="U61" i="1"/>
  <c r="V61" i="1"/>
  <c r="W61" i="1"/>
  <c r="X61" i="1"/>
  <c r="Y61" i="1"/>
  <c r="AA61" i="1"/>
  <c r="Q62" i="1"/>
  <c r="R62" i="1"/>
  <c r="S62" i="1"/>
  <c r="T62" i="1"/>
  <c r="U62" i="1"/>
  <c r="V62" i="1"/>
  <c r="W62" i="1"/>
  <c r="X62" i="1"/>
  <c r="Y62" i="1"/>
  <c r="AA62" i="1"/>
  <c r="Q63" i="1"/>
  <c r="R63" i="1"/>
  <c r="S63" i="1"/>
  <c r="T63" i="1"/>
  <c r="U63" i="1"/>
  <c r="V63" i="1"/>
  <c r="W63" i="1"/>
  <c r="X63" i="1"/>
  <c r="Y63" i="1"/>
  <c r="AA63" i="1"/>
  <c r="Q64" i="1"/>
  <c r="R64" i="1"/>
  <c r="S64" i="1"/>
  <c r="T64" i="1"/>
  <c r="U64" i="1"/>
  <c r="V64" i="1"/>
  <c r="W64" i="1"/>
  <c r="X64" i="1"/>
  <c r="Y64" i="1"/>
  <c r="AA64" i="1"/>
  <c r="Q65" i="1"/>
  <c r="R65" i="1"/>
  <c r="S65" i="1"/>
  <c r="T65" i="1"/>
  <c r="U65" i="1"/>
  <c r="V65" i="1"/>
  <c r="W65" i="1"/>
  <c r="X65" i="1"/>
  <c r="Y65" i="1"/>
  <c r="AA65" i="1"/>
  <c r="Q66" i="1"/>
  <c r="R66" i="1"/>
  <c r="S66" i="1"/>
  <c r="T66" i="1"/>
  <c r="U66" i="1"/>
  <c r="V66" i="1"/>
  <c r="W66" i="1"/>
  <c r="X66" i="1"/>
  <c r="Y66" i="1"/>
  <c r="AA66" i="1"/>
  <c r="AB66" i="1" s="1"/>
  <c r="AC66" i="1" s="1"/>
  <c r="AN66" i="1" s="1"/>
  <c r="Q67" i="1"/>
  <c r="R67" i="1"/>
  <c r="S67" i="1"/>
  <c r="T67" i="1"/>
  <c r="U67" i="1"/>
  <c r="V67" i="1"/>
  <c r="W67" i="1"/>
  <c r="X67" i="1"/>
  <c r="Y67" i="1"/>
  <c r="AA67" i="1"/>
  <c r="Q68" i="1"/>
  <c r="R68" i="1"/>
  <c r="S68" i="1"/>
  <c r="T68" i="1"/>
  <c r="U68" i="1"/>
  <c r="V68" i="1"/>
  <c r="W68" i="1"/>
  <c r="X68" i="1"/>
  <c r="Y68" i="1"/>
  <c r="AA68" i="1"/>
  <c r="Q69" i="1"/>
  <c r="R69" i="1"/>
  <c r="S69" i="1"/>
  <c r="T69" i="1"/>
  <c r="U69" i="1"/>
  <c r="V69" i="1"/>
  <c r="W69" i="1"/>
  <c r="X69" i="1"/>
  <c r="Y69" i="1"/>
  <c r="AA69" i="1"/>
  <c r="Q70" i="1"/>
  <c r="R70" i="1"/>
  <c r="S70" i="1"/>
  <c r="T70" i="1"/>
  <c r="U70" i="1"/>
  <c r="V70" i="1"/>
  <c r="W70" i="1"/>
  <c r="X70" i="1"/>
  <c r="Y70" i="1"/>
  <c r="AA70" i="1"/>
  <c r="Q71" i="1"/>
  <c r="R71" i="1"/>
  <c r="S71" i="1"/>
  <c r="T71" i="1"/>
  <c r="U71" i="1"/>
  <c r="V71" i="1"/>
  <c r="W71" i="1"/>
  <c r="X71" i="1"/>
  <c r="Y71" i="1"/>
  <c r="AA71" i="1"/>
  <c r="Q72" i="1"/>
  <c r="R72" i="1"/>
  <c r="S72" i="1"/>
  <c r="T72" i="1"/>
  <c r="U72" i="1"/>
  <c r="V72" i="1"/>
  <c r="W72" i="1"/>
  <c r="X72" i="1"/>
  <c r="Y72" i="1"/>
  <c r="AA72" i="1"/>
  <c r="Q73" i="1"/>
  <c r="R73" i="1"/>
  <c r="S73" i="1"/>
  <c r="T73" i="1"/>
  <c r="U73" i="1"/>
  <c r="V73" i="1"/>
  <c r="W73" i="1"/>
  <c r="X73" i="1"/>
  <c r="Y73" i="1"/>
  <c r="AA73" i="1"/>
  <c r="Q74" i="1"/>
  <c r="R74" i="1"/>
  <c r="S74" i="1"/>
  <c r="T74" i="1"/>
  <c r="U74" i="1"/>
  <c r="V74" i="1"/>
  <c r="W74" i="1"/>
  <c r="X74" i="1"/>
  <c r="Y74" i="1"/>
  <c r="AA74" i="1"/>
  <c r="Q75" i="1"/>
  <c r="R75" i="1"/>
  <c r="S75" i="1"/>
  <c r="T75" i="1"/>
  <c r="U75" i="1"/>
  <c r="V75" i="1"/>
  <c r="W75" i="1"/>
  <c r="X75" i="1"/>
  <c r="Y75" i="1"/>
  <c r="AA75" i="1"/>
  <c r="Q76" i="1"/>
  <c r="R76" i="1"/>
  <c r="S76" i="1"/>
  <c r="T76" i="1"/>
  <c r="U76" i="1"/>
  <c r="V76" i="1"/>
  <c r="W76" i="1"/>
  <c r="X76" i="1"/>
  <c r="Y76" i="1"/>
  <c r="AA76" i="1"/>
  <c r="Q77" i="1"/>
  <c r="R77" i="1"/>
  <c r="S77" i="1"/>
  <c r="T77" i="1"/>
  <c r="U77" i="1"/>
  <c r="V77" i="1"/>
  <c r="W77" i="1"/>
  <c r="X77" i="1"/>
  <c r="Y77" i="1"/>
  <c r="AA77" i="1"/>
  <c r="Q78" i="1"/>
  <c r="R78" i="1"/>
  <c r="S78" i="1"/>
  <c r="T78" i="1"/>
  <c r="U78" i="1"/>
  <c r="V78" i="1"/>
  <c r="W78" i="1"/>
  <c r="X78" i="1"/>
  <c r="Y78" i="1"/>
  <c r="AA78" i="1"/>
  <c r="AB78" i="1" s="1"/>
  <c r="AC78" i="1" s="1"/>
  <c r="AN78" i="1" s="1"/>
  <c r="Q79" i="1"/>
  <c r="R79" i="1"/>
  <c r="S79" i="1"/>
  <c r="T79" i="1"/>
  <c r="U79" i="1"/>
  <c r="V79" i="1"/>
  <c r="W79" i="1"/>
  <c r="X79" i="1"/>
  <c r="Y79" i="1"/>
  <c r="AA79" i="1"/>
  <c r="Q80" i="1"/>
  <c r="R80" i="1"/>
  <c r="S80" i="1"/>
  <c r="T80" i="1"/>
  <c r="U80" i="1"/>
  <c r="V80" i="1"/>
  <c r="W80" i="1"/>
  <c r="X80" i="1"/>
  <c r="Y80" i="1"/>
  <c r="AA80" i="1"/>
  <c r="Q81" i="1"/>
  <c r="R81" i="1"/>
  <c r="S81" i="1"/>
  <c r="T81" i="1"/>
  <c r="U81" i="1"/>
  <c r="V81" i="1"/>
  <c r="W81" i="1"/>
  <c r="X81" i="1"/>
  <c r="Y81" i="1"/>
  <c r="AA81" i="1"/>
  <c r="Q82" i="1"/>
  <c r="R82" i="1"/>
  <c r="S82" i="1"/>
  <c r="T82" i="1"/>
  <c r="U82" i="1"/>
  <c r="V82" i="1"/>
  <c r="W82" i="1"/>
  <c r="X82" i="1"/>
  <c r="Y82" i="1"/>
  <c r="AA82" i="1"/>
  <c r="Q83" i="1"/>
  <c r="R83" i="1"/>
  <c r="S83" i="1"/>
  <c r="T83" i="1"/>
  <c r="U83" i="1"/>
  <c r="V83" i="1"/>
  <c r="W83" i="1"/>
  <c r="X83" i="1"/>
  <c r="Y83" i="1"/>
  <c r="AA83" i="1"/>
  <c r="Q84" i="1"/>
  <c r="R84" i="1"/>
  <c r="S84" i="1"/>
  <c r="T84" i="1"/>
  <c r="U84" i="1"/>
  <c r="V84" i="1"/>
  <c r="W84" i="1"/>
  <c r="X84" i="1"/>
  <c r="Y84" i="1"/>
  <c r="AA84" i="1"/>
  <c r="Q85" i="1"/>
  <c r="R85" i="1"/>
  <c r="S85" i="1"/>
  <c r="T85" i="1"/>
  <c r="U85" i="1"/>
  <c r="V85" i="1"/>
  <c r="W85" i="1"/>
  <c r="X85" i="1"/>
  <c r="Y85" i="1"/>
  <c r="AA85" i="1"/>
  <c r="Q86" i="1"/>
  <c r="R86" i="1"/>
  <c r="S86" i="1"/>
  <c r="T86" i="1"/>
  <c r="U86" i="1"/>
  <c r="V86" i="1"/>
  <c r="W86" i="1"/>
  <c r="X86" i="1"/>
  <c r="Y86" i="1"/>
  <c r="AA86" i="1"/>
  <c r="Q87" i="1"/>
  <c r="R87" i="1"/>
  <c r="S87" i="1"/>
  <c r="T87" i="1"/>
  <c r="U87" i="1"/>
  <c r="V87" i="1"/>
  <c r="W87" i="1"/>
  <c r="X87" i="1"/>
  <c r="Y87" i="1"/>
  <c r="AA87" i="1"/>
  <c r="Q88" i="1"/>
  <c r="R88" i="1"/>
  <c r="S88" i="1"/>
  <c r="T88" i="1"/>
  <c r="U88" i="1"/>
  <c r="V88" i="1"/>
  <c r="W88" i="1"/>
  <c r="X88" i="1"/>
  <c r="Y88" i="1"/>
  <c r="AA88" i="1"/>
  <c r="Q89" i="1"/>
  <c r="R89" i="1"/>
  <c r="S89" i="1"/>
  <c r="T89" i="1"/>
  <c r="U89" i="1"/>
  <c r="V89" i="1"/>
  <c r="W89" i="1"/>
  <c r="X89" i="1"/>
  <c r="Y89" i="1"/>
  <c r="AA89" i="1"/>
  <c r="Q90" i="1"/>
  <c r="R90" i="1"/>
  <c r="S90" i="1"/>
  <c r="T90" i="1"/>
  <c r="U90" i="1"/>
  <c r="V90" i="1"/>
  <c r="W90" i="1"/>
  <c r="X90" i="1"/>
  <c r="Y90" i="1"/>
  <c r="AA90" i="1"/>
  <c r="Q91" i="1"/>
  <c r="R91" i="1"/>
  <c r="S91" i="1"/>
  <c r="T91" i="1"/>
  <c r="U91" i="1"/>
  <c r="V91" i="1"/>
  <c r="W91" i="1"/>
  <c r="X91" i="1"/>
  <c r="Y91" i="1"/>
  <c r="AA91" i="1"/>
  <c r="Q92" i="1"/>
  <c r="R92" i="1"/>
  <c r="S92" i="1"/>
  <c r="T92" i="1"/>
  <c r="U92" i="1"/>
  <c r="V92" i="1"/>
  <c r="W92" i="1"/>
  <c r="X92" i="1"/>
  <c r="Y92" i="1"/>
  <c r="AA92" i="1"/>
  <c r="Q93" i="1"/>
  <c r="R93" i="1"/>
  <c r="S93" i="1"/>
  <c r="T93" i="1"/>
  <c r="U93" i="1"/>
  <c r="V93" i="1"/>
  <c r="W93" i="1"/>
  <c r="X93" i="1"/>
  <c r="Y93" i="1"/>
  <c r="AA93" i="1"/>
  <c r="Q94" i="1"/>
  <c r="R94" i="1"/>
  <c r="S94" i="1"/>
  <c r="T94" i="1"/>
  <c r="U94" i="1"/>
  <c r="V94" i="1"/>
  <c r="W94" i="1"/>
  <c r="X94" i="1"/>
  <c r="Y94" i="1"/>
  <c r="AA94" i="1"/>
  <c r="Q95" i="1"/>
  <c r="R95" i="1"/>
  <c r="S95" i="1"/>
  <c r="T95" i="1"/>
  <c r="U95" i="1"/>
  <c r="V95" i="1"/>
  <c r="W95" i="1"/>
  <c r="X95" i="1"/>
  <c r="Y95" i="1"/>
  <c r="AA95" i="1"/>
  <c r="Q96" i="1"/>
  <c r="R96" i="1"/>
  <c r="S96" i="1"/>
  <c r="T96" i="1"/>
  <c r="U96" i="1"/>
  <c r="V96" i="1"/>
  <c r="W96" i="1"/>
  <c r="X96" i="1"/>
  <c r="Y96" i="1"/>
  <c r="AA96" i="1"/>
  <c r="Q97" i="1"/>
  <c r="R97" i="1"/>
  <c r="S97" i="1"/>
  <c r="T97" i="1"/>
  <c r="U97" i="1"/>
  <c r="V97" i="1"/>
  <c r="W97" i="1"/>
  <c r="X97" i="1"/>
  <c r="Y97" i="1"/>
  <c r="AA97" i="1"/>
  <c r="Q98" i="1"/>
  <c r="R98" i="1"/>
  <c r="S98" i="1"/>
  <c r="T98" i="1"/>
  <c r="U98" i="1"/>
  <c r="V98" i="1"/>
  <c r="W98" i="1"/>
  <c r="X98" i="1"/>
  <c r="Y98" i="1"/>
  <c r="AA98" i="1"/>
  <c r="Q99" i="1"/>
  <c r="R99" i="1"/>
  <c r="S99" i="1"/>
  <c r="T99" i="1"/>
  <c r="U99" i="1"/>
  <c r="V99" i="1"/>
  <c r="W99" i="1"/>
  <c r="X99" i="1"/>
  <c r="Y99" i="1"/>
  <c r="AA99" i="1"/>
  <c r="Q100" i="1"/>
  <c r="R100" i="1"/>
  <c r="S100" i="1"/>
  <c r="T100" i="1"/>
  <c r="U100" i="1"/>
  <c r="V100" i="1"/>
  <c r="W100" i="1"/>
  <c r="X100" i="1"/>
  <c r="Y100" i="1"/>
  <c r="AA100" i="1"/>
  <c r="Q101" i="1"/>
  <c r="R101" i="1"/>
  <c r="S101" i="1"/>
  <c r="T101" i="1"/>
  <c r="U101" i="1"/>
  <c r="V101" i="1"/>
  <c r="W101" i="1"/>
  <c r="X101" i="1"/>
  <c r="Y101" i="1"/>
  <c r="AA101" i="1"/>
  <c r="Q102" i="1"/>
  <c r="R102" i="1"/>
  <c r="S102" i="1"/>
  <c r="T102" i="1"/>
  <c r="U102" i="1"/>
  <c r="V102" i="1"/>
  <c r="W102" i="1"/>
  <c r="X102" i="1"/>
  <c r="Y102" i="1"/>
  <c r="AA102" i="1"/>
  <c r="Q103" i="1"/>
  <c r="R103" i="1"/>
  <c r="S103" i="1"/>
  <c r="T103" i="1"/>
  <c r="U103" i="1"/>
  <c r="V103" i="1"/>
  <c r="W103" i="1"/>
  <c r="X103" i="1"/>
  <c r="Y103" i="1"/>
  <c r="AA103" i="1"/>
  <c r="Q104" i="1"/>
  <c r="R104" i="1"/>
  <c r="S104" i="1"/>
  <c r="T104" i="1"/>
  <c r="U104" i="1"/>
  <c r="V104" i="1"/>
  <c r="W104" i="1"/>
  <c r="X104" i="1"/>
  <c r="Y104" i="1"/>
  <c r="AA104" i="1"/>
  <c r="AJ1" i="1"/>
  <c r="AI1" i="1"/>
  <c r="AH1" i="1"/>
  <c r="AG1" i="1"/>
  <c r="AE1" i="1"/>
  <c r="AL2" i="1"/>
  <c r="AK2" i="1"/>
  <c r="AJ2" i="1"/>
  <c r="AI2" i="1"/>
  <c r="AH2" i="1"/>
  <c r="AG2" i="1"/>
  <c r="AF2" i="1"/>
  <c r="AE2" i="1"/>
  <c r="AA106" i="1" l="1"/>
  <c r="AB36" i="1"/>
  <c r="AC36" i="1" s="1"/>
  <c r="AN36" i="1" s="1"/>
  <c r="AB56" i="1"/>
  <c r="AC56" i="1" s="1"/>
  <c r="AN56" i="1" s="1"/>
  <c r="AB23" i="1"/>
  <c r="AC23" i="1" s="1"/>
  <c r="AN23" i="1" s="1"/>
  <c r="AB50" i="1"/>
  <c r="AC50" i="1" s="1"/>
  <c r="AN50" i="1" s="1"/>
  <c r="AB44" i="1"/>
  <c r="AC44" i="1" s="1"/>
  <c r="AB88" i="1"/>
  <c r="AC88" i="1" s="1"/>
  <c r="AN88" i="1" s="1"/>
  <c r="AB82" i="1"/>
  <c r="AC82" i="1" s="1"/>
  <c r="AN82" i="1" s="1"/>
  <c r="AB11" i="1"/>
  <c r="AC11" i="1" s="1"/>
  <c r="AN11" i="1" s="1"/>
  <c r="AB49" i="1"/>
  <c r="AC49" i="1" s="1"/>
  <c r="AN49" i="1" s="1"/>
  <c r="AB75" i="1"/>
  <c r="AC75" i="1" s="1"/>
  <c r="AN75" i="1" s="1"/>
  <c r="AB69" i="1"/>
  <c r="AC69" i="1" s="1"/>
  <c r="AN69" i="1" s="1"/>
  <c r="AB10" i="1"/>
  <c r="AC10" i="1" s="1"/>
  <c r="AN10" i="1" s="1"/>
  <c r="AB101" i="1"/>
  <c r="AC101" i="1" s="1"/>
  <c r="AB47" i="1"/>
  <c r="AC47" i="1" s="1"/>
  <c r="AN47" i="1" s="1"/>
  <c r="AB91" i="1"/>
  <c r="AC91" i="1" s="1"/>
  <c r="AN91" i="1" s="1"/>
  <c r="AB85" i="1"/>
  <c r="AC85" i="1" s="1"/>
  <c r="AN85" i="1" s="1"/>
  <c r="AB31" i="1"/>
  <c r="AC31" i="1" s="1"/>
  <c r="AN31" i="1" s="1"/>
  <c r="AB25" i="1"/>
  <c r="AC25" i="1" s="1"/>
  <c r="AN25" i="1" s="1"/>
  <c r="AB21" i="1"/>
  <c r="AC21" i="1" s="1"/>
  <c r="AN21" i="1" s="1"/>
  <c r="AB15" i="1"/>
  <c r="AC15" i="1" s="1"/>
  <c r="AN15" i="1" s="1"/>
  <c r="AB76" i="1"/>
  <c r="AC76" i="1" s="1"/>
  <c r="AN76" i="1" s="1"/>
  <c r="AB46" i="1"/>
  <c r="AC46" i="1" s="1"/>
  <c r="AN46" i="1" s="1"/>
  <c r="AB30" i="1"/>
  <c r="AC30" i="1" s="1"/>
  <c r="AN30" i="1" s="1"/>
  <c r="AB19" i="1"/>
  <c r="AC19" i="1" s="1"/>
  <c r="AN19" i="1" s="1"/>
  <c r="AB38" i="1"/>
  <c r="AC38" i="1" s="1"/>
  <c r="AN38" i="1" s="1"/>
  <c r="AB39" i="1"/>
  <c r="AC39" i="1" s="1"/>
  <c r="AN39" i="1" s="1"/>
  <c r="AB33" i="1"/>
  <c r="AC33" i="1" s="1"/>
  <c r="AN33" i="1" s="1"/>
  <c r="AB12" i="1"/>
  <c r="AC12" i="1" s="1"/>
  <c r="AN12" i="1" s="1"/>
  <c r="AB14" i="1"/>
  <c r="AC14" i="1" s="1"/>
  <c r="AN14" i="1" s="1"/>
  <c r="AB79" i="1"/>
  <c r="AC79" i="1" s="1"/>
  <c r="AN79" i="1" s="1"/>
  <c r="AB54" i="1"/>
  <c r="AC54" i="1" s="1"/>
  <c r="AN54" i="1" s="1"/>
  <c r="AB48" i="1"/>
  <c r="AC48" i="1" s="1"/>
  <c r="AN48" i="1" s="1"/>
  <c r="AB98" i="1"/>
  <c r="AC98" i="1" s="1"/>
  <c r="AB86" i="1"/>
  <c r="AC86" i="1" s="1"/>
  <c r="AN86" i="1" s="1"/>
  <c r="AB80" i="1"/>
  <c r="AC80" i="1" s="1"/>
  <c r="AN80" i="1" s="1"/>
  <c r="AB67" i="1"/>
  <c r="AC67" i="1" s="1"/>
  <c r="AN67" i="1" s="1"/>
  <c r="AB99" i="1"/>
  <c r="AC99" i="1" s="1"/>
  <c r="AN99" i="1" s="1"/>
  <c r="AB17" i="1"/>
  <c r="AC17" i="1" s="1"/>
  <c r="AN17" i="1" s="1"/>
  <c r="AB63" i="1"/>
  <c r="AC63" i="1" s="1"/>
  <c r="AN63" i="1" s="1"/>
  <c r="AB57" i="1"/>
  <c r="AC57" i="1" s="1"/>
  <c r="AN57" i="1" s="1"/>
  <c r="AB43" i="1"/>
  <c r="AC43" i="1" s="1"/>
  <c r="AN43" i="1" s="1"/>
  <c r="AB84" i="1"/>
  <c r="AC84" i="1" s="1"/>
  <c r="AN84" i="1" s="1"/>
  <c r="AB104" i="1"/>
  <c r="AC104" i="1" s="1"/>
  <c r="AN104" i="1" s="1"/>
  <c r="AB97" i="1"/>
  <c r="AC97" i="1" s="1"/>
  <c r="AN97" i="1" s="1"/>
  <c r="AB92" i="1"/>
  <c r="AC92" i="1" s="1"/>
  <c r="AN92" i="1" s="1"/>
  <c r="AB71" i="1"/>
  <c r="AC71" i="1" s="1"/>
  <c r="AN71" i="1" s="1"/>
  <c r="AB65" i="1"/>
  <c r="AC65" i="1" s="1"/>
  <c r="AN65" i="1" s="1"/>
  <c r="AB59" i="1"/>
  <c r="AC59" i="1" s="1"/>
  <c r="AN59" i="1" s="1"/>
  <c r="AB52" i="1"/>
  <c r="AC52" i="1" s="1"/>
  <c r="AN52" i="1" s="1"/>
  <c r="AB72" i="1"/>
  <c r="AC72" i="1" s="1"/>
  <c r="AN72" i="1" s="1"/>
  <c r="AB53" i="1"/>
  <c r="AC53" i="1" s="1"/>
  <c r="AN53" i="1" s="1"/>
  <c r="AB34" i="1"/>
  <c r="AC34" i="1" s="1"/>
  <c r="AN34" i="1" s="1"/>
  <c r="AB27" i="1"/>
  <c r="AC27" i="1" s="1"/>
  <c r="AN27" i="1" s="1"/>
  <c r="AB81" i="1"/>
  <c r="AC81" i="1" s="1"/>
  <c r="AN81" i="1" s="1"/>
  <c r="AB73" i="1"/>
  <c r="AC73" i="1" s="1"/>
  <c r="AN73" i="1" s="1"/>
  <c r="AB41" i="1"/>
  <c r="AC41" i="1" s="1"/>
  <c r="AN41" i="1" s="1"/>
  <c r="AB28" i="1"/>
  <c r="AC28" i="1" s="1"/>
  <c r="AN28" i="1" s="1"/>
  <c r="AB94" i="1"/>
  <c r="AC94" i="1" s="1"/>
  <c r="AN94" i="1" s="1"/>
  <c r="AB102" i="1"/>
  <c r="AC102" i="1" s="1"/>
  <c r="AN102" i="1" s="1"/>
  <c r="AB95" i="1"/>
  <c r="AC95" i="1" s="1"/>
  <c r="AN95" i="1" s="1"/>
  <c r="AB89" i="1"/>
  <c r="AC89" i="1" s="1"/>
  <c r="AN89" i="1" s="1"/>
  <c r="AB74" i="1"/>
  <c r="AC74" i="1" s="1"/>
  <c r="AN74" i="1" s="1"/>
  <c r="AB62" i="1"/>
  <c r="AC62" i="1" s="1"/>
  <c r="AN62" i="1" s="1"/>
  <c r="AB87" i="1"/>
  <c r="AC87" i="1" s="1"/>
  <c r="AN87" i="1" s="1"/>
  <c r="AB83" i="1"/>
  <c r="AC83" i="1" s="1"/>
  <c r="AN83" i="1" s="1"/>
  <c r="AB70" i="1"/>
  <c r="AC70" i="1" s="1"/>
  <c r="AN70" i="1" s="1"/>
  <c r="AB68" i="1"/>
  <c r="AC68" i="1" s="1"/>
  <c r="AN68" i="1" s="1"/>
  <c r="AB55" i="1"/>
  <c r="AC55" i="1" s="1"/>
  <c r="AN55" i="1" s="1"/>
  <c r="AB51" i="1"/>
  <c r="AC51" i="1" s="1"/>
  <c r="AN51" i="1" s="1"/>
  <c r="AB96" i="1"/>
  <c r="AC96" i="1" s="1"/>
  <c r="AN96" i="1" s="1"/>
  <c r="AB90" i="1"/>
  <c r="AC90" i="1" s="1"/>
  <c r="AN90" i="1" s="1"/>
  <c r="AB64" i="1"/>
  <c r="AC64" i="1" s="1"/>
  <c r="AN64" i="1" s="1"/>
  <c r="AB58" i="1"/>
  <c r="AC58" i="1" s="1"/>
  <c r="AN58" i="1" s="1"/>
  <c r="AB42" i="1"/>
  <c r="AC42" i="1" s="1"/>
  <c r="AN42" i="1" s="1"/>
  <c r="AB35" i="1"/>
  <c r="AC35" i="1" s="1"/>
  <c r="AN35" i="1" s="1"/>
  <c r="AB26" i="1"/>
  <c r="AC26" i="1" s="1"/>
  <c r="AN26" i="1" s="1"/>
  <c r="AB13" i="1"/>
  <c r="AC13" i="1" s="1"/>
  <c r="AN13" i="1" s="1"/>
  <c r="AB103" i="1"/>
  <c r="AC103" i="1" s="1"/>
  <c r="AN103" i="1" s="1"/>
  <c r="AB100" i="1"/>
  <c r="AC100" i="1" s="1"/>
  <c r="AN100" i="1" s="1"/>
  <c r="AB93" i="1"/>
  <c r="AC93" i="1" s="1"/>
  <c r="AN93" i="1" s="1"/>
  <c r="AB77" i="1"/>
  <c r="AC77" i="1" s="1"/>
  <c r="AN77" i="1" s="1"/>
  <c r="AB61" i="1"/>
  <c r="AC61" i="1" s="1"/>
  <c r="AN61" i="1" s="1"/>
  <c r="AB45" i="1"/>
  <c r="AC45" i="1" s="1"/>
  <c r="AN45" i="1" s="1"/>
  <c r="AB40" i="1"/>
  <c r="AC40" i="1" s="1"/>
  <c r="AN40" i="1" s="1"/>
  <c r="AB37" i="1"/>
  <c r="AC37" i="1" s="1"/>
  <c r="AN37" i="1" s="1"/>
  <c r="AB32" i="1"/>
  <c r="AC32" i="1" s="1"/>
  <c r="AN32" i="1" s="1"/>
  <c r="AB29" i="1"/>
  <c r="AC29" i="1" s="1"/>
  <c r="AN29" i="1" s="1"/>
  <c r="AB24" i="1"/>
  <c r="AC24" i="1" s="1"/>
  <c r="AN24" i="1" s="1"/>
  <c r="AB22" i="1"/>
  <c r="AC22" i="1" s="1"/>
  <c r="AN22" i="1" s="1"/>
  <c r="AB20" i="1"/>
  <c r="AC20" i="1" s="1"/>
  <c r="AN20" i="1" s="1"/>
  <c r="AB18" i="1"/>
  <c r="AC18" i="1" s="1"/>
  <c r="AN18" i="1" s="1"/>
  <c r="AB16" i="1"/>
  <c r="AC16" i="1" s="1"/>
  <c r="AN16" i="1" s="1"/>
  <c r="AB9" i="1"/>
  <c r="AC9" i="1" s="1"/>
  <c r="AN9" i="1" s="1"/>
  <c r="AN106" i="1" l="1"/>
</calcChain>
</file>

<file path=xl/sharedStrings.xml><?xml version="1.0" encoding="utf-8"?>
<sst xmlns="http://schemas.openxmlformats.org/spreadsheetml/2006/main" count="453" uniqueCount="383">
  <si>
    <t>R/D</t>
  </si>
  <si>
    <t>need</t>
  </si>
  <si>
    <t>COMBINED</t>
  </si>
  <si>
    <t>days sch</t>
  </si>
  <si>
    <t>NEED GR</t>
  </si>
  <si>
    <t>Add Total Jobs currently scheduled -&gt;</t>
  </si>
  <si>
    <t>current</t>
  </si>
  <si>
    <t>NO GREIGE</t>
  </si>
  <si>
    <t>Weekly Turns</t>
  </si>
  <si>
    <t>MISSING OR INCORRECT INFO</t>
  </si>
  <si>
    <t># sch</t>
  </si>
  <si>
    <t>ALLOCATED</t>
  </si>
  <si>
    <t># greige rolls</t>
  </si>
  <si>
    <t>CONVERT LAST</t>
  </si>
  <si>
    <t>Plant</t>
  </si>
  <si>
    <t>item</t>
  </si>
  <si>
    <t>desc</t>
  </si>
  <si>
    <t>PA Fin Item</t>
  </si>
  <si>
    <t>PA WIP Item</t>
  </si>
  <si>
    <t>Yield</t>
  </si>
  <si>
    <t>PA Qty</t>
  </si>
  <si>
    <t>Adaptive Qty</t>
  </si>
  <si>
    <t>P1 Demand</t>
  </si>
  <si>
    <t>P2 Demand</t>
  </si>
  <si>
    <t>P3 Demand</t>
  </si>
  <si>
    <t>P4 Demand</t>
  </si>
  <si>
    <t>P1 New</t>
  </si>
  <si>
    <t>P2 New</t>
  </si>
  <si>
    <t>P3 New</t>
  </si>
  <si>
    <t>P4 New</t>
  </si>
  <si>
    <t>Grand Total</t>
  </si>
  <si>
    <t>(blank)</t>
  </si>
  <si>
    <t>Yield/greige</t>
  </si>
  <si>
    <t>Greige</t>
  </si>
  <si>
    <t>Week 2 Order</t>
  </si>
  <si>
    <t>Lot Size</t>
  </si>
  <si>
    <t>Bal to Sch</t>
  </si>
  <si>
    <t>excess jobs</t>
  </si>
  <si>
    <t>Jet-01</t>
  </si>
  <si>
    <t>Jet-02</t>
  </si>
  <si>
    <t>Jet-03</t>
  </si>
  <si>
    <t>Jet-04</t>
  </si>
  <si>
    <t>Jet-07</t>
  </si>
  <si>
    <t>Jet-08</t>
  </si>
  <si>
    <t>Jet-09</t>
  </si>
  <si>
    <t>Jet-10</t>
  </si>
  <si>
    <t>Total lbs Sch</t>
  </si>
  <si>
    <t>BAL TO SCH</t>
  </si>
  <si>
    <t>Notes</t>
  </si>
  <si>
    <t>210189A</t>
  </si>
  <si>
    <t>AURA30000/DX9/BLK/63</t>
  </si>
  <si>
    <t>FF AURA30000-39064-63</t>
  </si>
  <si>
    <t>FF AURA30000-39064-126</t>
  </si>
  <si>
    <t>220010A</t>
  </si>
  <si>
    <t>TAFFETAGMW/9874/LAG/63</t>
  </si>
  <si>
    <t>FF TAFFETAGMW-39329-63</t>
  </si>
  <si>
    <t>FF TAFFETAGMW-39329-189</t>
  </si>
  <si>
    <t>2.1587301587301586</t>
  </si>
  <si>
    <t>TAFFETA/600R/JT BLK/60</t>
  </si>
  <si>
    <t>FF TAFFETAHP-38712-60</t>
  </si>
  <si>
    <t>FF TAFFETAHP-38712-180</t>
  </si>
  <si>
    <t>2.2666666666666666</t>
  </si>
  <si>
    <t>AU3426M/ME/LT GR/62</t>
  </si>
  <si>
    <t>FF AU3426M-38840-62</t>
  </si>
  <si>
    <t>FF AU3426M-38840-124</t>
  </si>
  <si>
    <t>2.632258064516129</t>
  </si>
  <si>
    <t>AU3426M/ME/LT GR/73</t>
  </si>
  <si>
    <t>FF AU3426M-38840-73</t>
  </si>
  <si>
    <t>FF AU3426M-38840-146</t>
  </si>
  <si>
    <t>2.2356164383561645</t>
  </si>
  <si>
    <t>TAFFETA/PACCAR GRAY/65</t>
  </si>
  <si>
    <t>FF TAFFETAHP-39869-65</t>
  </si>
  <si>
    <t>FF TAFFETAHP-39869-130</t>
  </si>
  <si>
    <t>2.0923076923076924</t>
  </si>
  <si>
    <t>227208A</t>
  </si>
  <si>
    <t>TR570BD/NH836L/WSGR/66</t>
  </si>
  <si>
    <t>FF TR570B-D-39226-66</t>
  </si>
  <si>
    <t>FF TR570B-D-39226-132</t>
  </si>
  <si>
    <t>1.8545454545454547</t>
  </si>
  <si>
    <t>AU3426M/ME/LT GR/64</t>
  </si>
  <si>
    <t>FF AU3426M-38840-64</t>
  </si>
  <si>
    <t>FF AU3426M-38840-128</t>
  </si>
  <si>
    <t>TR570B/NH900L/N BK/62</t>
  </si>
  <si>
    <t>FF TR570B-39777-62</t>
  </si>
  <si>
    <t>FF TR570B-39777-124</t>
  </si>
  <si>
    <t>1.9741935483870965</t>
  </si>
  <si>
    <t>TR570B/NH836L/WS GR/62</t>
  </si>
  <si>
    <t>FF TR570B-39226-62</t>
  </si>
  <si>
    <t>FF TR570B-39226-124</t>
  </si>
  <si>
    <t>SPRUCE/149B/SHALE/67</t>
  </si>
  <si>
    <t>FF SPRUCE-39433-67</t>
  </si>
  <si>
    <t>FF SPRUCE-39433-134</t>
  </si>
  <si>
    <t>3.177157689811811</t>
  </si>
  <si>
    <t>TR570B/NH900L/N BK/66</t>
  </si>
  <si>
    <t>FF TR570B-39777-66</t>
  </si>
  <si>
    <t>FF TR570B-39777-132</t>
  </si>
  <si>
    <t>228653A</t>
  </si>
  <si>
    <t>TR570BD/NH900L/N BK/66</t>
  </si>
  <si>
    <t>FF TR570B-D-39777-66</t>
  </si>
  <si>
    <t>FF TR570B-D-39777-132</t>
  </si>
  <si>
    <t>AU3426MSS/ME/LT GR/53</t>
  </si>
  <si>
    <t>FF AU3426MSS-38840-53</t>
  </si>
  <si>
    <t>FF AU3426MSS-38840-106</t>
  </si>
  <si>
    <t>3.0792452830188677</t>
  </si>
  <si>
    <t>AU3426MSS/JC/BLACK/53</t>
  </si>
  <si>
    <t>FF AU3426MSS-39858-53</t>
  </si>
  <si>
    <t>FF AU3426MSS-39858-106</t>
  </si>
  <si>
    <t>TR570B/NH882L/PL GR/48</t>
  </si>
  <si>
    <t>FF TR570B-39789-48</t>
  </si>
  <si>
    <t>FF TR570B-39789-144</t>
  </si>
  <si>
    <t>TR570BSS/NH900L/NB/48</t>
  </si>
  <si>
    <t>FF TR570B-39777-48</t>
  </si>
  <si>
    <t>FF TR570B-39777-144</t>
  </si>
  <si>
    <t>ARCTICSS/600R/JT BK/73</t>
  </si>
  <si>
    <t>FF ARCTIC-39811-73</t>
  </si>
  <si>
    <t>FF ARCTIC-39811-146</t>
  </si>
  <si>
    <t>2.4840182648401825</t>
  </si>
  <si>
    <t>MESA/KZ67A/KZ67/45</t>
  </si>
  <si>
    <t>FF MESASS-39833-45</t>
  </si>
  <si>
    <t>FF MESASS-39833-135</t>
  </si>
  <si>
    <t>3.6266666666666665</t>
  </si>
  <si>
    <t>MOLTO/016B/LEX WHT/57</t>
  </si>
  <si>
    <t>FF MOLTO-NA-40409-57</t>
  </si>
  <si>
    <t>FF MOLTO-NA-40409-114</t>
  </si>
  <si>
    <t>1.8275475923852182</t>
  </si>
  <si>
    <t>AURA30000/TX7/G BLK/68</t>
  </si>
  <si>
    <t>FF AURA30000-40359-68</t>
  </si>
  <si>
    <t>FF AURA30000-40359-136</t>
  </si>
  <si>
    <t>MESA/KZ22A/PK82/62</t>
  </si>
  <si>
    <t>FF MESA-39307-62</t>
  </si>
  <si>
    <t>FF MESA-39307-124</t>
  </si>
  <si>
    <t>MESA/KZ67A/KZ67/58</t>
  </si>
  <si>
    <t>FF MESA-39327-58</t>
  </si>
  <si>
    <t>FF MESA-39327-116</t>
  </si>
  <si>
    <t>2.8137931034482753</t>
  </si>
  <si>
    <t>ARCTICSS/999K/DAGR/73</t>
  </si>
  <si>
    <t>FF ARCTIC-40416-73</t>
  </si>
  <si>
    <t>FF ARCTIC-40416-146</t>
  </si>
  <si>
    <t>ARCTICSS/309X/VDA/73</t>
  </si>
  <si>
    <t>FF ARCTIC-40415-73</t>
  </si>
  <si>
    <t>FF ARCTIC-40415-146</t>
  </si>
  <si>
    <t>TAFFETA/PACCAR GRAY/50</t>
  </si>
  <si>
    <t>FF TAFFETAHP-39869-50</t>
  </si>
  <si>
    <t>FF TAFFETAHP-39869-150</t>
  </si>
  <si>
    <t>TAFFETA/600R/JT BLK/67</t>
  </si>
  <si>
    <t>FF TAFFETAHP-38712-67</t>
  </si>
  <si>
    <t>FF TAFFETAHP-38712-134</t>
  </si>
  <si>
    <t>2.0298507462686564</t>
  </si>
  <si>
    <t>ARCTIC/600R/JT BLK/68</t>
  </si>
  <si>
    <t>FF ARCTIC-39811-68</t>
  </si>
  <si>
    <t>FF ARCTIC-39811-136</t>
  </si>
  <si>
    <t>2.666666666666666</t>
  </si>
  <si>
    <t>AU5429D/GRAYSTONE/63</t>
  </si>
  <si>
    <t>FF ARCTIC-40506-63</t>
  </si>
  <si>
    <t>FF ARCTIC-40506-126</t>
  </si>
  <si>
    <t>2.878306878306878</t>
  </si>
  <si>
    <t>MESA/KG0R/BLACK/62</t>
  </si>
  <si>
    <t>FF MESA-40241-62</t>
  </si>
  <si>
    <t>FF MESA-40241-124</t>
  </si>
  <si>
    <t>ARCTIC/308X/V DK AT/68</t>
  </si>
  <si>
    <t>FF ARCTIC-40415-68</t>
  </si>
  <si>
    <t>FF ARCTIC-40415-136</t>
  </si>
  <si>
    <t>TAFFETA/309X/VDKATM/67</t>
  </si>
  <si>
    <t>FF TAFFETAHP-40512-67</t>
  </si>
  <si>
    <t>FF TAFFETAHP-40512-134</t>
  </si>
  <si>
    <t>TR665BP/NH882L/PG/65</t>
  </si>
  <si>
    <t>FF TR665BP-40607-65</t>
  </si>
  <si>
    <t>FF TR665BP-40607-130</t>
  </si>
  <si>
    <t>2.7897435897435896</t>
  </si>
  <si>
    <t>TR665BP/NH900L/NB/65</t>
  </si>
  <si>
    <t>FF TR665BP-40608-65</t>
  </si>
  <si>
    <t>FF TR665BP-40608-130</t>
  </si>
  <si>
    <t>TR665B/NH802L/LJG/65</t>
  </si>
  <si>
    <t>FF TR665B-40477-65</t>
  </si>
  <si>
    <t>FF TR665B-40477-130</t>
  </si>
  <si>
    <t>TR665B/NH882L/PG/65</t>
  </si>
  <si>
    <t>FF TR665B-40279-65</t>
  </si>
  <si>
    <t>FF TR665B-40279-130</t>
  </si>
  <si>
    <t>TR665B/YR552L/AE/65</t>
  </si>
  <si>
    <t>FF TR665B-40478-65</t>
  </si>
  <si>
    <t>FF TR665B-40478-130</t>
  </si>
  <si>
    <t>TR665B/NH900L/NB/65</t>
  </si>
  <si>
    <t>FF TR665B-40388-65</t>
  </si>
  <si>
    <t>FF TR665B-40388-130</t>
  </si>
  <si>
    <t>LYRICR/ZHE/EBONY/64</t>
  </si>
  <si>
    <t>FF LYRICR-40614-64</t>
  </si>
  <si>
    <t>FF LYRICR-40614-128</t>
  </si>
  <si>
    <t>2.467741935483871</t>
  </si>
  <si>
    <t>AU3426M/JCBLACK/62</t>
  </si>
  <si>
    <t>FF AU3426M-39858-62</t>
  </si>
  <si>
    <t>FF AU3426M-39858-124</t>
  </si>
  <si>
    <t>MOLTOFR/202B/BLACK/62</t>
  </si>
  <si>
    <t>FF MOLTOFR-NA-40383-62</t>
  </si>
  <si>
    <t>FF MOLTOFR-NA-40383-124</t>
  </si>
  <si>
    <t>1.6801647220315716</t>
  </si>
  <si>
    <t>MOLTOFR/105B/LTGRY/62</t>
  </si>
  <si>
    <t>FF MOLTOFR-NA-40669-62</t>
  </si>
  <si>
    <t>FF MOLTOFR-NA-40669-124</t>
  </si>
  <si>
    <t>LYRICR/1Y1/LTSPCGRY/64</t>
  </si>
  <si>
    <t>FF LYRICR-40582-64</t>
  </si>
  <si>
    <t>FF LYRICR-40582-128</t>
  </si>
  <si>
    <t>TR684B/NH882L/PG/60</t>
  </si>
  <si>
    <t>FF TR684B-40623-60</t>
  </si>
  <si>
    <t>FF TR684B-40623-120</t>
  </si>
  <si>
    <t>2.914285714285714</t>
  </si>
  <si>
    <t>TR684B/NH900L/NB/60</t>
  </si>
  <si>
    <t>FF TR684B-40610-60</t>
  </si>
  <si>
    <t>FF TR684B-40610-120</t>
  </si>
  <si>
    <t>MOLTO/202B/BLK/NCAT/64</t>
  </si>
  <si>
    <t>FF MOLTO-NA-41256-64</t>
  </si>
  <si>
    <t>FF MOLTO-NA-41256-128</t>
  </si>
  <si>
    <t>1.627659574468085</t>
  </si>
  <si>
    <t>MOLTO/016B/LEX WHT/64</t>
  </si>
  <si>
    <t>FF MOLTO-NA-40409-64</t>
  </si>
  <si>
    <t>FF MOLTO-NA-40409-128</t>
  </si>
  <si>
    <t>TR684B/NH882L/PG/65</t>
  </si>
  <si>
    <t>FF TR684B-40623-65</t>
  </si>
  <si>
    <t>FF TR684B-40623-130</t>
  </si>
  <si>
    <t>2.6901098901098903</t>
  </si>
  <si>
    <t>TR684B/NH900L/NB/65</t>
  </si>
  <si>
    <t>FF TR684B-40610-65</t>
  </si>
  <si>
    <t>FF TR684B-40610-130</t>
  </si>
  <si>
    <t>LYRICRSS/1Y1/LSG/64</t>
  </si>
  <si>
    <t>FF LYRICRSS-40582-64</t>
  </si>
  <si>
    <t>FF LYRICRSS-40582-128</t>
  </si>
  <si>
    <t>ARCTICP/600R/JB/61</t>
  </si>
  <si>
    <t>FF ARCTICP-39885-61</t>
  </si>
  <si>
    <t>FF ARCTICP-39885-122</t>
  </si>
  <si>
    <t>2.972677595628415</t>
  </si>
  <si>
    <t>AEROKNIT/V003/TNTGR/61</t>
  </si>
  <si>
    <t>FF AEROKNIT D-40637-61</t>
  </si>
  <si>
    <t>FF AEROKNIT D-40637-122</t>
  </si>
  <si>
    <t>2.8665105386416863</t>
  </si>
  <si>
    <t>239960A</t>
  </si>
  <si>
    <t>LYRICHELHS/HV1/CRM/63</t>
  </si>
  <si>
    <t>FF LYRICHELHS-41114-63</t>
  </si>
  <si>
    <t>FF LYRICHELHS-41114-126</t>
  </si>
  <si>
    <t>2.5069124423963136</t>
  </si>
  <si>
    <t>EPIC/TX7/GLBLBLCK/67</t>
  </si>
  <si>
    <t>FF EPIC-40362-67</t>
  </si>
  <si>
    <t>FF EPIC-40362-134</t>
  </si>
  <si>
    <t>2.3572460279248912</t>
  </si>
  <si>
    <t>MOLTO/G4LW/HAZEL/64VA</t>
  </si>
  <si>
    <t>FF MOLTO-NA-40771-64</t>
  </si>
  <si>
    <t>FF MOLTO-NA-40771-128</t>
  </si>
  <si>
    <t>ARCTICP/309X/VDA/61</t>
  </si>
  <si>
    <t>FF ARCTICP-40937-61</t>
  </si>
  <si>
    <t>FF ARCTICP-40937-122</t>
  </si>
  <si>
    <t>ARCTICP/999K/DAG/61</t>
  </si>
  <si>
    <t>FF ARCTICP-40938-61</t>
  </si>
  <si>
    <t>FF ARCTICP-40938-122</t>
  </si>
  <si>
    <t>MOLTO/G4LW/HAZEL/57</t>
  </si>
  <si>
    <t>FF MOLTO-NA-40771-57</t>
  </si>
  <si>
    <t>FF MOLTO-NA-40771-114</t>
  </si>
  <si>
    <t>241540A</t>
  </si>
  <si>
    <t>MOLTO/105B/LT GRAY/62</t>
  </si>
  <si>
    <t>FF MOLTO-NA-40382-62</t>
  </si>
  <si>
    <t>FF MOLTO-NA-40382-124</t>
  </si>
  <si>
    <t>TR684B/C9G/LJG/65</t>
  </si>
  <si>
    <t>FF TR684B-40760-65</t>
  </si>
  <si>
    <t>FF TR684B-40760-130</t>
  </si>
  <si>
    <t>PARADIGM/DKGR/61</t>
  </si>
  <si>
    <t>FF PARADIGMH-40726-61</t>
  </si>
  <si>
    <t>FF PARADIGMH-40726-122</t>
  </si>
  <si>
    <t>2.432190760059613</t>
  </si>
  <si>
    <t>MOLTOSS/202B/BLACK/73</t>
  </si>
  <si>
    <t>FF MOLTOSS-NA-40569-73</t>
  </si>
  <si>
    <t>FF MOLTOSS-NA-40569-146</t>
  </si>
  <si>
    <t>1.4269892159720199</t>
  </si>
  <si>
    <t>MOLTOSS/016B/LEX WH/73</t>
  </si>
  <si>
    <t>FF MOLTOSS-NA-40779-73</t>
  </si>
  <si>
    <t>FF MOLTOSS-NA-40779-146</t>
  </si>
  <si>
    <t>LYRICPHE/3J2/LST/63</t>
  </si>
  <si>
    <t>FF LYRICPHE-41122-63</t>
  </si>
  <si>
    <t>FF LYRICPHE-41122-126</t>
  </si>
  <si>
    <t>ANMUTC/SHETLAND/66</t>
  </si>
  <si>
    <t>FF ANMUT-C-NA-40488-66</t>
  </si>
  <si>
    <t>FF ANMUT-C-NA-40488-132</t>
  </si>
  <si>
    <t>2.6493506493506493</t>
  </si>
  <si>
    <t>ANMUTC/TITANSCHWARZ/66</t>
  </si>
  <si>
    <t>FF ANMUT-C-NA-40487-66</t>
  </si>
  <si>
    <t>FF ANMUT-C-NA-40487-132</t>
  </si>
  <si>
    <t>MOLTOSSX/G4LW/HAZEL/73</t>
  </si>
  <si>
    <t>FF MOLTOSSX-NA-40780-73</t>
  </si>
  <si>
    <t>FF MOLTOSSX-NA-40780-146</t>
  </si>
  <si>
    <t>MOLTOX/202B/BLACK/62</t>
  </si>
  <si>
    <t>FF MOLTOX-NA-40383-62</t>
  </si>
  <si>
    <t>FF MOLTOX-NA-40383-124</t>
  </si>
  <si>
    <t>MOLTOX/G4LW/HAZEL/62</t>
  </si>
  <si>
    <t>FF MOLTOX-NA-40771-62</t>
  </si>
  <si>
    <t>FF MOLTOX-NA-40771-124</t>
  </si>
  <si>
    <t>LYRICPHE/1Y1/LTSPGR/61</t>
  </si>
  <si>
    <t>FF LYRICPHE-41120-61</t>
  </si>
  <si>
    <t>FF LYRICPHE-41120-122</t>
  </si>
  <si>
    <t>2.589106292966684</t>
  </si>
  <si>
    <t>MESA/KZ22A/GRAY/63</t>
  </si>
  <si>
    <t>FF MESA-39307-63</t>
  </si>
  <si>
    <t>FF MESA-39307-126</t>
  </si>
  <si>
    <t>TAFFETA/737D/FAWN/67</t>
  </si>
  <si>
    <t>FF TAFFETAHP-41026-67</t>
  </si>
  <si>
    <t>FF TAFFETAHP-41026-134</t>
  </si>
  <si>
    <t>MESA/KGR0/BLACK/63</t>
  </si>
  <si>
    <t>FF MESA-40241-63</t>
  </si>
  <si>
    <t>FF MESA-40241-126</t>
  </si>
  <si>
    <t>MOLTOP/H2L5/BL/200/67</t>
  </si>
  <si>
    <t>FF MOLTOP-NA-41254-67</t>
  </si>
  <si>
    <t>FF MOLTOP-NA-41254-134</t>
  </si>
  <si>
    <t>MOLTO/105B/GRAY/64</t>
  </si>
  <si>
    <t>FF MOLTO-NA-41255-64</t>
  </si>
  <si>
    <t>FF MOLTO-NA-41255-128</t>
  </si>
  <si>
    <t>LYRICHELHS/ZHE/EBNY/63</t>
  </si>
  <si>
    <t>FF LYRICHELHS-39651-63</t>
  </si>
  <si>
    <t>FF LYRICHELHS-39651-126</t>
  </si>
  <si>
    <t>ARCTIC/BACKENBLK/62</t>
  </si>
  <si>
    <t>FF ARCTIC -41079-62</t>
  </si>
  <si>
    <t>FF ARCTIC -41079-124</t>
  </si>
  <si>
    <t>2.9247311827956985</t>
  </si>
  <si>
    <t>MOLTO/J1VZ/LTGRAY/59</t>
  </si>
  <si>
    <t>FF MOLTO-NA-40382-59</t>
  </si>
  <si>
    <t>FF MOLTO-NA-40382-118</t>
  </si>
  <si>
    <t>1.7655968265416515</t>
  </si>
  <si>
    <t>246106A</t>
  </si>
  <si>
    <t>MOLTOX/J002/FROMAGE/62</t>
  </si>
  <si>
    <t>FF MOLTOX-NA-40406-62</t>
  </si>
  <si>
    <t>FF MOLTOX-NA-40406-124</t>
  </si>
  <si>
    <t>MOLTOSS/105B/LTGRAY/72</t>
  </si>
  <si>
    <t>FF MOLTOSS-NA-40572-72</t>
  </si>
  <si>
    <t>FF MOLTOSS-NA-40572-144</t>
  </si>
  <si>
    <t>1.4468085106382977</t>
  </si>
  <si>
    <t>MOLTOSS/468B/HAZEL/73</t>
  </si>
  <si>
    <t>FF MOLTOSS-NA-41064-73</t>
  </si>
  <si>
    <t>FF MOLTOSS-NA-41064-146</t>
  </si>
  <si>
    <t>MOLTOSS/NC/105B/LGR/51</t>
  </si>
  <si>
    <t>FF MOLTOSS-NA-40572-51</t>
  </si>
  <si>
    <t>FF MOLTOSS-NA-40572-153</t>
  </si>
  <si>
    <t>2.0425531914893615</t>
  </si>
  <si>
    <t>MESA/KGR0/40241/55</t>
  </si>
  <si>
    <t>FF MESA -40241-55</t>
  </si>
  <si>
    <t>FF MESA -40241-110</t>
  </si>
  <si>
    <t>2.9672727272727273</t>
  </si>
  <si>
    <t>ARCTIC/9869/VLAGRAY/62</t>
  </si>
  <si>
    <t>FF ARCTIC -40599-62</t>
  </si>
  <si>
    <t>FF ARCTIC -40599-124</t>
  </si>
  <si>
    <t>MOLTO/NA/J1VZ/57</t>
  </si>
  <si>
    <t>FF MOLTOV-NA-41203-57</t>
  </si>
  <si>
    <t>FF MOLTOV-NA-41203-114</t>
  </si>
  <si>
    <t>MOLTO/H2G6/BLACK57</t>
  </si>
  <si>
    <t>FF MOLTOV-NA-41204-57</t>
  </si>
  <si>
    <t>FF MOLTOV-NA-41204-114</t>
  </si>
  <si>
    <t>TR570B/NH882L/PGRAY/66</t>
  </si>
  <si>
    <t>FF TR570B-39789-66</t>
  </si>
  <si>
    <t>FF TR570B-39789-132</t>
  </si>
  <si>
    <t>MOLTOP/J1VZ/LTGRAY/67</t>
  </si>
  <si>
    <t>FF MOLTOP-NA-40667-67</t>
  </si>
  <si>
    <t>FF MOLTOP-NA-40667-134</t>
  </si>
  <si>
    <t>MOLTONA/H2G6/BLK/59</t>
  </si>
  <si>
    <t>FF MOLTO-NA-40383-59</t>
  </si>
  <si>
    <t>FF MOLTO-NA-40383-118</t>
  </si>
  <si>
    <t>TAFFETA/TITANIUM221/50</t>
  </si>
  <si>
    <t>TR684B/NH802L/LJG/60</t>
  </si>
  <si>
    <t>FF TR684B-40760-60</t>
  </si>
  <si>
    <t>FF TR684B-40760-120</t>
  </si>
  <si>
    <t>MOLTOSSX/J002/FROMG/73</t>
  </si>
  <si>
    <t>FF MOLTOSSX-NA-41320-73</t>
  </si>
  <si>
    <t>FF MOLTOSSX-NA-41320-146</t>
  </si>
  <si>
    <t>PROVDWR/NEU100I/MB/61</t>
  </si>
  <si>
    <t>FF PROVT-NDWR-40973-61</t>
  </si>
  <si>
    <t>FF PROVT-NDWR-40973-122</t>
  </si>
  <si>
    <t>1.8665650019062145</t>
  </si>
  <si>
    <t>ARCTICPBT1CC/103H/61</t>
  </si>
  <si>
    <t>FF ARCTICP-41147-61</t>
  </si>
  <si>
    <t>FF ARCTICP-41147-122</t>
  </si>
  <si>
    <t>LYRIC/1Y1/LTSPCGRY/71</t>
  </si>
  <si>
    <t>FF LYRIC -41282-71</t>
  </si>
  <si>
    <t>FF LYRIC -41282-142</t>
  </si>
  <si>
    <t>2.2244434348023625</t>
  </si>
  <si>
    <t>LYRIC/ZHE/EBONY/71</t>
  </si>
  <si>
    <t>FF LYRIC -39651-71</t>
  </si>
  <si>
    <t>FF LYRIC -39651-142</t>
  </si>
  <si>
    <t>Sum of Adaptive Qty</t>
  </si>
  <si>
    <t>Column Labels</t>
  </si>
  <si>
    <t>Row Labels</t>
  </si>
  <si>
    <t>FF LYRICP-40542-110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</si>
</sst>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87B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6" fillId="33" borderId="10" xfId="0" applyFont="1" applyFill="1" applyBorder="1"/>
    <xf numFmtId="14" fontId="16" fillId="33" borderId="10" xfId="0" applyNumberFormat="1" applyFont="1" applyFill="1" applyBorder="1"/>
    <xf numFmtId="14" fontId="16" fillId="0" borderId="10" xfId="0" applyNumberFormat="1" applyFont="1" applyBorder="1"/>
    <xf numFmtId="1" fontId="0" fillId="0" borderId="0" xfId="0" applyNumberFormat="1"/>
    <xf numFmtId="1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0" fontId="0" fillId="37" borderId="0" xfId="0" applyFill="1"/>
    <xf numFmtId="1" fontId="16" fillId="0" borderId="10" xfId="0" applyNumberFormat="1" applyFont="1" applyBorder="1"/>
    <xf numFmtId="0" fontId="0" fillId="38" borderId="11" xfId="0" applyFill="1" applyBorder="1"/>
    <xf numFmtId="0" fontId="0" fillId="38" borderId="12" xfId="0" applyFill="1" applyBorder="1"/>
    <xf numFmtId="0" fontId="0" fillId="38" borderId="13" xfId="0" applyFill="1" applyBorder="1"/>
    <xf numFmtId="0" fontId="16" fillId="0" borderId="0" xfId="0" applyFont="1"/>
    <xf numFmtId="0" fontId="18" fillId="38" borderId="14" xfId="0" applyFont="1" applyFill="1" applyBorder="1"/>
    <xf numFmtId="0" fontId="18" fillId="38" borderId="12" xfId="0" applyFont="1" applyFill="1" applyBorder="1"/>
    <xf numFmtId="0" fontId="18" fillId="38" borderId="13" xfId="0" applyFont="1" applyFill="1" applyBorder="1"/>
    <xf numFmtId="0" fontId="0" fillId="0" borderId="0" xfId="0" quotePrefix="1"/>
    <xf numFmtId="16" fontId="0" fillId="0" borderId="0" xfId="0" applyNumberFormat="1"/>
    <xf numFmtId="0" fontId="0" fillId="39" borderId="0" xfId="0" applyFill="1"/>
    <xf numFmtId="0" fontId="0" fillId="40" borderId="0" xfId="0" applyFill="1"/>
    <xf numFmtId="0" fontId="0" fillId="38" borderId="0" xfId="0" applyFill="1"/>
    <xf numFmtId="0" fontId="0" fillId="41" borderId="0" xfId="0" applyFill="1"/>
    <xf numFmtId="0" fontId="0" fillId="34" borderId="0" xfId="0" applyFill="1" applyAlignment="1">
      <alignment wrapText="1"/>
    </xf>
    <xf numFmtId="0" fontId="0" fillId="42" borderId="0" xfId="0" applyFill="1"/>
    <xf numFmtId="22" fontId="0" fillId="0" borderId="0" xfId="0" applyNumberFormat="1"/>
    <xf numFmtId="22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 tint="-0.2499465926084170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87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awmutcorp.sharepoint.com/sites/SupplyChain/Shared%20Documents/PA%20Supply/Lamination%20demand%20planning/LamDemandPlanning.xlsx" TargetMode="External"/><Relationship Id="rId1" Type="http://schemas.openxmlformats.org/officeDocument/2006/relationships/externalLinkPath" Target="LamDemandPlan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zQD1Vq4hdE2fiiZMtoHXg_vdo0AKZe1Io1Fu3k9EXCOqT_yv-lS8T5V2cPWDUetM" itemId="01RJRBAKJ5DZLFGQAJJFEJ53BFXWNQZ3UH">
      <xxl21:absoluteUrl r:id="rId2"/>
    </xxl21:alternateUrls>
    <sheetNames>
      <sheetName val="Ship Schedule"/>
      <sheetName val="Inventory"/>
      <sheetName val="Griege Master"/>
      <sheetName val="Adaptive"/>
      <sheetName val="714"/>
      <sheetName val="Xref"/>
      <sheetName val="Griege Sizes"/>
      <sheetName val="Greige Style Translation"/>
      <sheetName val="OriginalDemand"/>
      <sheetName val="SLWB Releases"/>
      <sheetName val="ShipSchedulePH "/>
      <sheetName val="ShipScheduleTN"/>
      <sheetName val="Instruction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GREIGE ITEM</v>
          </cell>
          <cell r="H1" t="str">
            <v>PLY 1 PART #</v>
          </cell>
        </row>
        <row r="2">
          <cell r="A2" t="str">
            <v>AU3426H</v>
          </cell>
          <cell r="H2">
            <v>239569</v>
          </cell>
        </row>
        <row r="3">
          <cell r="A3" t="str">
            <v>ANMUT-C</v>
          </cell>
          <cell r="H3">
            <v>242883</v>
          </cell>
        </row>
        <row r="4">
          <cell r="A4" t="str">
            <v>ANMUT-C</v>
          </cell>
          <cell r="H4">
            <v>242882</v>
          </cell>
        </row>
        <row r="5">
          <cell r="A5" t="str">
            <v>AU5429D</v>
          </cell>
          <cell r="H5">
            <v>225759</v>
          </cell>
        </row>
        <row r="6">
          <cell r="A6" t="str">
            <v>AU5429D</v>
          </cell>
          <cell r="H6">
            <v>234795</v>
          </cell>
        </row>
        <row r="7">
          <cell r="A7" t="str">
            <v>AU5429D</v>
          </cell>
          <cell r="H7">
            <v>226068</v>
          </cell>
        </row>
        <row r="8">
          <cell r="A8" t="str">
            <v>AU5429D</v>
          </cell>
          <cell r="H8">
            <v>225718</v>
          </cell>
        </row>
        <row r="9">
          <cell r="A9" t="str">
            <v>AU5429D</v>
          </cell>
          <cell r="H9">
            <v>236592</v>
          </cell>
        </row>
        <row r="10">
          <cell r="A10" t="str">
            <v>AU5429D</v>
          </cell>
          <cell r="H10">
            <v>233982</v>
          </cell>
        </row>
        <row r="11">
          <cell r="A11" t="str">
            <v>AU5429D</v>
          </cell>
          <cell r="H11">
            <v>233981</v>
          </cell>
        </row>
        <row r="12">
          <cell r="A12" t="str">
            <v>AU5429H</v>
          </cell>
          <cell r="H12">
            <v>234639</v>
          </cell>
        </row>
        <row r="13">
          <cell r="A13" t="str">
            <v>AU5429D</v>
          </cell>
          <cell r="H13">
            <v>234918</v>
          </cell>
        </row>
        <row r="14">
          <cell r="A14" t="str">
            <v>AU5429D</v>
          </cell>
          <cell r="H14">
            <v>236371</v>
          </cell>
        </row>
        <row r="15">
          <cell r="A15" t="str">
            <v>AU5429D</v>
          </cell>
          <cell r="H15">
            <v>226827</v>
          </cell>
        </row>
        <row r="16">
          <cell r="A16" t="str">
            <v>AU5429D</v>
          </cell>
          <cell r="H16">
            <v>244432</v>
          </cell>
        </row>
        <row r="17">
          <cell r="A17" t="str">
            <v>AU5429D</v>
          </cell>
          <cell r="H17">
            <v>238993</v>
          </cell>
        </row>
        <row r="18">
          <cell r="A18" t="str">
            <v>AU5429D</v>
          </cell>
          <cell r="H18">
            <v>241190</v>
          </cell>
        </row>
        <row r="19">
          <cell r="A19" t="str">
            <v>AU5429D</v>
          </cell>
          <cell r="H19">
            <v>241191</v>
          </cell>
        </row>
        <row r="20">
          <cell r="A20" t="str">
            <v>AU5429D</v>
          </cell>
          <cell r="H20">
            <v>225624</v>
          </cell>
        </row>
        <row r="21">
          <cell r="A21" t="str">
            <v>AU5429D</v>
          </cell>
          <cell r="H21">
            <v>227442</v>
          </cell>
        </row>
        <row r="22">
          <cell r="A22" t="str">
            <v>AU5429ISDA</v>
          </cell>
          <cell r="H22">
            <v>227429</v>
          </cell>
        </row>
        <row r="23">
          <cell r="A23" t="str">
            <v>AU5429ISDA</v>
          </cell>
          <cell r="H23">
            <v>227436</v>
          </cell>
        </row>
        <row r="24">
          <cell r="A24" t="str">
            <v>AU5429D</v>
          </cell>
          <cell r="H24">
            <v>231553</v>
          </cell>
        </row>
        <row r="25">
          <cell r="A25" t="str">
            <v>AU3426 Wide</v>
          </cell>
          <cell r="H25">
            <v>220971</v>
          </cell>
        </row>
        <row r="26">
          <cell r="A26" t="str">
            <v>AU3426 Wide</v>
          </cell>
          <cell r="H26">
            <v>223417</v>
          </cell>
        </row>
        <row r="27">
          <cell r="A27" t="str">
            <v>AU3426 Wide</v>
          </cell>
          <cell r="H27">
            <v>223566</v>
          </cell>
        </row>
        <row r="28">
          <cell r="A28" t="str">
            <v>AU3426 Wide</v>
          </cell>
          <cell r="H28" t="str">
            <v>RMAAU3426M-LT GRAY</v>
          </cell>
        </row>
        <row r="29">
          <cell r="A29" t="str">
            <v>AU3426 Wide</v>
          </cell>
          <cell r="H29">
            <v>227469</v>
          </cell>
        </row>
        <row r="30">
          <cell r="A30" t="str">
            <v>AU3426</v>
          </cell>
          <cell r="H30">
            <v>225786</v>
          </cell>
        </row>
        <row r="31">
          <cell r="A31" t="str">
            <v>AU3426 Wide</v>
          </cell>
          <cell r="H31">
            <v>237822</v>
          </cell>
        </row>
        <row r="32">
          <cell r="A32" t="str">
            <v>AU3426 Wide</v>
          </cell>
          <cell r="H32" t="str">
            <v xml:space="preserve">RMAAU3426M-JC BLACK </v>
          </cell>
        </row>
        <row r="33">
          <cell r="A33" t="str">
            <v>AU3426 Wide</v>
          </cell>
          <cell r="H33">
            <v>228514</v>
          </cell>
        </row>
        <row r="34">
          <cell r="A34" t="str">
            <v>AU3426H</v>
          </cell>
          <cell r="H34">
            <v>238087</v>
          </cell>
        </row>
        <row r="35">
          <cell r="A35" t="str">
            <v>AU3426</v>
          </cell>
          <cell r="H35">
            <v>238304</v>
          </cell>
        </row>
        <row r="36">
          <cell r="A36" t="str">
            <v>AU3426</v>
          </cell>
          <cell r="H36">
            <v>228669</v>
          </cell>
        </row>
        <row r="37">
          <cell r="A37" t="str">
            <v>AU3426</v>
          </cell>
          <cell r="H37">
            <v>229174</v>
          </cell>
        </row>
        <row r="38">
          <cell r="A38" t="str">
            <v>AU2958A</v>
          </cell>
          <cell r="H38">
            <v>203371</v>
          </cell>
        </row>
        <row r="39">
          <cell r="A39" t="str">
            <v>AU2958A</v>
          </cell>
          <cell r="H39">
            <v>211030</v>
          </cell>
        </row>
        <row r="40">
          <cell r="A40" t="str">
            <v>AU2958A</v>
          </cell>
          <cell r="H40">
            <v>226472</v>
          </cell>
        </row>
        <row r="41">
          <cell r="A41" t="str">
            <v>AU2958A</v>
          </cell>
          <cell r="H41">
            <v>243364</v>
          </cell>
        </row>
        <row r="42">
          <cell r="A42" t="str">
            <v>AU2958G</v>
          </cell>
          <cell r="H42" t="str">
            <v>208412A</v>
          </cell>
        </row>
        <row r="43">
          <cell r="A43" t="str">
            <v>AU2958A</v>
          </cell>
          <cell r="H43" t="str">
            <v>219822A</v>
          </cell>
        </row>
        <row r="44">
          <cell r="A44" t="str">
            <v>AU2958A</v>
          </cell>
          <cell r="H44" t="str">
            <v>212328A</v>
          </cell>
        </row>
        <row r="45">
          <cell r="A45" t="str">
            <v>AU2958A</v>
          </cell>
          <cell r="H45" t="str">
            <v>209761B</v>
          </cell>
        </row>
        <row r="46">
          <cell r="A46" t="str">
            <v>AU2958G</v>
          </cell>
          <cell r="H46" t="str">
            <v>209493A</v>
          </cell>
        </row>
        <row r="47">
          <cell r="A47" t="str">
            <v>AU2958A</v>
          </cell>
          <cell r="H47">
            <v>232982</v>
          </cell>
        </row>
        <row r="48">
          <cell r="A48" t="str">
            <v>AU2958A</v>
          </cell>
          <cell r="H48" t="str">
            <v>212326A</v>
          </cell>
        </row>
        <row r="49">
          <cell r="A49" t="str">
            <v>AU2958H</v>
          </cell>
          <cell r="H49">
            <v>235520</v>
          </cell>
        </row>
        <row r="50">
          <cell r="A50" t="str">
            <v>AU2958H</v>
          </cell>
          <cell r="H50">
            <v>235722</v>
          </cell>
        </row>
        <row r="51">
          <cell r="A51" t="str">
            <v>AU2958G</v>
          </cell>
          <cell r="H51">
            <v>223041</v>
          </cell>
        </row>
        <row r="52">
          <cell r="A52" t="str">
            <v>AU2958G</v>
          </cell>
          <cell r="H52" t="str">
            <v>210189A</v>
          </cell>
        </row>
        <row r="53">
          <cell r="A53" t="str">
            <v>AU2958A</v>
          </cell>
          <cell r="H53" t="str">
            <v>220095A</v>
          </cell>
        </row>
        <row r="54">
          <cell r="A54" t="str">
            <v>AU2958A</v>
          </cell>
          <cell r="H54">
            <v>226053</v>
          </cell>
        </row>
        <row r="55">
          <cell r="A55" t="str">
            <v>AU2958A</v>
          </cell>
          <cell r="H55" t="str">
            <v>212327A</v>
          </cell>
        </row>
        <row r="56">
          <cell r="A56" t="str">
            <v>AU2958A</v>
          </cell>
          <cell r="H56" t="str">
            <v>209758B</v>
          </cell>
        </row>
        <row r="57">
          <cell r="A57" t="str">
            <v>AU2958G</v>
          </cell>
          <cell r="H57">
            <v>230758</v>
          </cell>
        </row>
        <row r="58">
          <cell r="A58" t="str">
            <v>AU2958H</v>
          </cell>
          <cell r="H58">
            <v>237217</v>
          </cell>
        </row>
        <row r="59">
          <cell r="A59" t="str">
            <v>AU2958G</v>
          </cell>
          <cell r="H59">
            <v>225892</v>
          </cell>
        </row>
        <row r="60">
          <cell r="A60" t="str">
            <v>AU2958H</v>
          </cell>
          <cell r="H60">
            <v>232616</v>
          </cell>
        </row>
        <row r="61">
          <cell r="A61" t="str">
            <v>AU2958G</v>
          </cell>
          <cell r="H61">
            <v>238202</v>
          </cell>
        </row>
        <row r="62">
          <cell r="A62" t="str">
            <v>AU2958A</v>
          </cell>
          <cell r="H62">
            <v>232983</v>
          </cell>
        </row>
        <row r="63">
          <cell r="A63" t="str">
            <v>AU2958A</v>
          </cell>
          <cell r="H63">
            <v>234472</v>
          </cell>
        </row>
        <row r="64">
          <cell r="A64" t="str">
            <v>AU2958A</v>
          </cell>
          <cell r="H64">
            <v>233671</v>
          </cell>
        </row>
        <row r="65">
          <cell r="A65" t="str">
            <v>AU2958H</v>
          </cell>
          <cell r="H65" t="str">
            <v>237217A</v>
          </cell>
        </row>
        <row r="66">
          <cell r="A66" t="str">
            <v>AU2958G</v>
          </cell>
          <cell r="H66">
            <v>230759</v>
          </cell>
        </row>
        <row r="67">
          <cell r="A67" t="str">
            <v>AU5429D</v>
          </cell>
          <cell r="H67">
            <v>240608</v>
          </cell>
        </row>
        <row r="68">
          <cell r="A68" t="str">
            <v>AU5429D</v>
          </cell>
          <cell r="H68">
            <v>240610</v>
          </cell>
        </row>
        <row r="69">
          <cell r="A69" t="str">
            <v>AU4077</v>
          </cell>
          <cell r="H69">
            <v>222032</v>
          </cell>
        </row>
        <row r="70">
          <cell r="A70" t="str">
            <v>AU4077</v>
          </cell>
          <cell r="H70">
            <v>220911</v>
          </cell>
        </row>
        <row r="71">
          <cell r="A71" t="str">
            <v>AU4077</v>
          </cell>
          <cell r="H71">
            <v>223502</v>
          </cell>
        </row>
        <row r="72">
          <cell r="A72" t="str">
            <v>AU4077</v>
          </cell>
          <cell r="H72">
            <v>223503</v>
          </cell>
        </row>
        <row r="73">
          <cell r="A73" t="str">
            <v>AU4077</v>
          </cell>
          <cell r="H73">
            <v>229081</v>
          </cell>
        </row>
        <row r="74">
          <cell r="A74" t="str">
            <v>AU4077</v>
          </cell>
          <cell r="H74">
            <v>205053</v>
          </cell>
        </row>
        <row r="75">
          <cell r="A75" t="str">
            <v>AU4077</v>
          </cell>
          <cell r="H75" t="str">
            <v>221221A</v>
          </cell>
        </row>
        <row r="76">
          <cell r="A76" t="str">
            <v>AU4077</v>
          </cell>
          <cell r="H76" t="str">
            <v>221219A</v>
          </cell>
        </row>
        <row r="77">
          <cell r="A77" t="str">
            <v>AU4077</v>
          </cell>
          <cell r="H77" t="str">
            <v>220912A</v>
          </cell>
        </row>
        <row r="78">
          <cell r="A78" t="str">
            <v>AU4782</v>
          </cell>
          <cell r="H78">
            <v>228062</v>
          </cell>
        </row>
        <row r="79">
          <cell r="A79" t="str">
            <v>AU4782</v>
          </cell>
          <cell r="H79">
            <v>228932</v>
          </cell>
        </row>
        <row r="80">
          <cell r="A80" t="str">
            <v>AU4782</v>
          </cell>
          <cell r="H80">
            <v>229435</v>
          </cell>
        </row>
        <row r="81">
          <cell r="A81" t="str">
            <v>AU4782</v>
          </cell>
          <cell r="H81">
            <v>229500</v>
          </cell>
        </row>
        <row r="82">
          <cell r="A82" t="str">
            <v>AU4782</v>
          </cell>
          <cell r="H82">
            <v>234412</v>
          </cell>
        </row>
        <row r="83">
          <cell r="A83" t="str">
            <v>AU4782</v>
          </cell>
          <cell r="H83">
            <v>229770</v>
          </cell>
        </row>
        <row r="84">
          <cell r="A84" t="str">
            <v>AU4782</v>
          </cell>
          <cell r="H84">
            <v>228930</v>
          </cell>
        </row>
        <row r="85">
          <cell r="A85" t="str">
            <v>AU4782</v>
          </cell>
          <cell r="H85">
            <v>228794</v>
          </cell>
        </row>
        <row r="86">
          <cell r="A86" t="str">
            <v>AU4782</v>
          </cell>
          <cell r="H86">
            <v>228925</v>
          </cell>
        </row>
        <row r="87">
          <cell r="A87" t="str">
            <v>AU4782</v>
          </cell>
          <cell r="H87">
            <v>229434</v>
          </cell>
        </row>
        <row r="88">
          <cell r="A88" t="str">
            <v>AU4782</v>
          </cell>
          <cell r="H88">
            <v>234773</v>
          </cell>
        </row>
        <row r="89">
          <cell r="A89" t="str">
            <v>AU4782</v>
          </cell>
          <cell r="H89">
            <v>241744</v>
          </cell>
        </row>
        <row r="90">
          <cell r="A90" t="str">
            <v>AU4782</v>
          </cell>
          <cell r="H90">
            <v>234770</v>
          </cell>
        </row>
        <row r="91">
          <cell r="A91" t="str">
            <v>AU4782</v>
          </cell>
          <cell r="H91">
            <v>234772</v>
          </cell>
        </row>
        <row r="92">
          <cell r="A92" t="str">
            <v>AU4782</v>
          </cell>
          <cell r="H92">
            <v>241743</v>
          </cell>
        </row>
        <row r="93">
          <cell r="A93" t="str">
            <v>AU4782</v>
          </cell>
          <cell r="H93">
            <v>229433</v>
          </cell>
        </row>
        <row r="94">
          <cell r="A94" t="str">
            <v>AU4782K</v>
          </cell>
          <cell r="H94">
            <v>245898</v>
          </cell>
        </row>
        <row r="95">
          <cell r="A95" t="str">
            <v>AU4782K</v>
          </cell>
          <cell r="H95">
            <v>239960</v>
          </cell>
        </row>
        <row r="96">
          <cell r="A96" t="str">
            <v>AU4782K</v>
          </cell>
          <cell r="H96">
            <v>236379</v>
          </cell>
        </row>
        <row r="97">
          <cell r="A97" t="str">
            <v>AU4782K</v>
          </cell>
          <cell r="H97" t="str">
            <v>239960A</v>
          </cell>
        </row>
        <row r="98">
          <cell r="A98" t="str">
            <v>AU4782</v>
          </cell>
          <cell r="H98">
            <v>228839</v>
          </cell>
        </row>
        <row r="99">
          <cell r="A99" t="str">
            <v>AU4782</v>
          </cell>
          <cell r="H99">
            <v>228039</v>
          </cell>
        </row>
        <row r="100">
          <cell r="A100" t="str">
            <v>AU4782</v>
          </cell>
          <cell r="H100">
            <v>229026</v>
          </cell>
        </row>
        <row r="101">
          <cell r="A101" t="str">
            <v>AU4782</v>
          </cell>
          <cell r="H101">
            <v>230360</v>
          </cell>
        </row>
        <row r="102">
          <cell r="A102" t="str">
            <v>AU4782</v>
          </cell>
          <cell r="H102">
            <v>229025</v>
          </cell>
        </row>
        <row r="103">
          <cell r="A103" t="str">
            <v>AU4782</v>
          </cell>
          <cell r="H103">
            <v>228744</v>
          </cell>
        </row>
        <row r="104">
          <cell r="A104" t="str">
            <v>AU4782</v>
          </cell>
          <cell r="H104">
            <v>236067</v>
          </cell>
        </row>
        <row r="105">
          <cell r="A105" t="str">
            <v>AU4782</v>
          </cell>
          <cell r="H105">
            <v>235813</v>
          </cell>
        </row>
        <row r="106">
          <cell r="A106" t="str">
            <v>AU4782</v>
          </cell>
          <cell r="H106" t="str">
            <v>229024A</v>
          </cell>
        </row>
        <row r="107">
          <cell r="A107" t="str">
            <v>AU4782</v>
          </cell>
          <cell r="H107" t="str">
            <v>228998A</v>
          </cell>
        </row>
        <row r="108">
          <cell r="A108" t="str">
            <v>AU4782</v>
          </cell>
          <cell r="H108">
            <v>236066</v>
          </cell>
        </row>
        <row r="109">
          <cell r="A109" t="str">
            <v>AU4782</v>
          </cell>
          <cell r="H109">
            <v>235812</v>
          </cell>
        </row>
        <row r="110">
          <cell r="A110" t="str">
            <v>AU4782</v>
          </cell>
          <cell r="H110">
            <v>229024</v>
          </cell>
        </row>
        <row r="111">
          <cell r="A111" t="str">
            <v>AU4782</v>
          </cell>
          <cell r="H111">
            <v>230182</v>
          </cell>
        </row>
        <row r="112">
          <cell r="A112" t="str">
            <v>AU4782K</v>
          </cell>
          <cell r="H112">
            <v>237323</v>
          </cell>
        </row>
        <row r="113">
          <cell r="A113" t="str">
            <v>AU4782K</v>
          </cell>
          <cell r="H113">
            <v>237322</v>
          </cell>
        </row>
        <row r="114">
          <cell r="A114" t="str">
            <v>AU4782K</v>
          </cell>
          <cell r="H114">
            <v>237324</v>
          </cell>
        </row>
        <row r="115">
          <cell r="A115" t="str">
            <v>AU4782K</v>
          </cell>
          <cell r="H115">
            <v>237321</v>
          </cell>
        </row>
        <row r="116">
          <cell r="A116" t="str">
            <v>AU4782</v>
          </cell>
          <cell r="H116">
            <v>229667</v>
          </cell>
        </row>
        <row r="117">
          <cell r="A117" t="str">
            <v>AU4782</v>
          </cell>
          <cell r="H117">
            <v>229666</v>
          </cell>
        </row>
        <row r="118">
          <cell r="A118" t="str">
            <v>AU4782DREP</v>
          </cell>
          <cell r="H118">
            <v>238079</v>
          </cell>
        </row>
        <row r="119">
          <cell r="A119" t="str">
            <v>AU4782DREP</v>
          </cell>
          <cell r="H119">
            <v>237362</v>
          </cell>
        </row>
        <row r="120">
          <cell r="A120" t="str">
            <v>AU4782DREP</v>
          </cell>
          <cell r="H120">
            <v>238968</v>
          </cell>
        </row>
        <row r="121">
          <cell r="A121" t="str">
            <v>AU4782</v>
          </cell>
          <cell r="H121">
            <v>226646</v>
          </cell>
        </row>
        <row r="122">
          <cell r="A122" t="str">
            <v>AU4782</v>
          </cell>
          <cell r="H122">
            <v>228343</v>
          </cell>
        </row>
        <row r="123">
          <cell r="A123" t="str">
            <v>AU3426</v>
          </cell>
          <cell r="H123">
            <v>214474</v>
          </cell>
        </row>
        <row r="124">
          <cell r="A124" t="str">
            <v>AU3426A</v>
          </cell>
          <cell r="H124">
            <v>233117</v>
          </cell>
        </row>
        <row r="125">
          <cell r="A125" t="str">
            <v>AU3426</v>
          </cell>
          <cell r="H125">
            <v>222931</v>
          </cell>
        </row>
        <row r="126">
          <cell r="A126" t="str">
            <v>AU3426</v>
          </cell>
          <cell r="H126">
            <v>233169</v>
          </cell>
        </row>
        <row r="127">
          <cell r="A127" t="str">
            <v>AU3426H</v>
          </cell>
          <cell r="H127">
            <v>225248</v>
          </cell>
        </row>
        <row r="128">
          <cell r="A128" t="str">
            <v>AU3426 Wide</v>
          </cell>
          <cell r="H128">
            <v>229329</v>
          </cell>
        </row>
        <row r="129">
          <cell r="A129" t="str">
            <v>AU3426</v>
          </cell>
          <cell r="H129">
            <v>232162</v>
          </cell>
        </row>
        <row r="130">
          <cell r="A130" t="str">
            <v>AU3426 Wide</v>
          </cell>
          <cell r="H130">
            <v>229033</v>
          </cell>
        </row>
        <row r="131">
          <cell r="A131" t="str">
            <v>AU3426</v>
          </cell>
          <cell r="H131">
            <v>233474</v>
          </cell>
        </row>
        <row r="132">
          <cell r="A132" t="str">
            <v>AU3426 Wide</v>
          </cell>
          <cell r="H132">
            <v>238320</v>
          </cell>
        </row>
        <row r="133">
          <cell r="A133" t="str">
            <v>AU3426</v>
          </cell>
          <cell r="H133">
            <v>235397</v>
          </cell>
        </row>
        <row r="134">
          <cell r="A134" t="str">
            <v>AU3426 Wide</v>
          </cell>
          <cell r="H134">
            <v>234213</v>
          </cell>
        </row>
        <row r="135">
          <cell r="A135" t="str">
            <v>AU3426 Wide</v>
          </cell>
          <cell r="H135">
            <v>245392</v>
          </cell>
        </row>
        <row r="136">
          <cell r="A136" t="str">
            <v>AU3426 Wide</v>
          </cell>
          <cell r="H136">
            <v>232740</v>
          </cell>
        </row>
        <row r="137">
          <cell r="A137" t="str">
            <v>AU3426 Wide</v>
          </cell>
          <cell r="H137">
            <v>238317</v>
          </cell>
        </row>
        <row r="138">
          <cell r="A138" t="str">
            <v>AU3426 Wide</v>
          </cell>
          <cell r="H138">
            <v>220440</v>
          </cell>
        </row>
        <row r="139">
          <cell r="A139" t="str">
            <v>AU3426 Wide</v>
          </cell>
          <cell r="H139">
            <v>245347</v>
          </cell>
        </row>
        <row r="140">
          <cell r="A140" t="str">
            <v>AU3426</v>
          </cell>
          <cell r="H140">
            <v>215595</v>
          </cell>
        </row>
        <row r="141">
          <cell r="A141" t="str">
            <v>AU3426H</v>
          </cell>
          <cell r="H141">
            <v>232190</v>
          </cell>
        </row>
        <row r="142">
          <cell r="A142" t="str">
            <v>AU3426 Wide</v>
          </cell>
          <cell r="H142">
            <v>227549</v>
          </cell>
        </row>
        <row r="143">
          <cell r="A143" t="str">
            <v>AU3426 Wide</v>
          </cell>
          <cell r="H143">
            <v>232204</v>
          </cell>
        </row>
        <row r="144">
          <cell r="A144" t="str">
            <v>AU3426H</v>
          </cell>
          <cell r="H144">
            <v>238531</v>
          </cell>
        </row>
        <row r="145">
          <cell r="A145" t="str">
            <v>AU7389G</v>
          </cell>
          <cell r="H145">
            <v>238024</v>
          </cell>
        </row>
        <row r="146">
          <cell r="A146" t="str">
            <v>AU7389G</v>
          </cell>
          <cell r="H146">
            <v>238025</v>
          </cell>
        </row>
        <row r="147">
          <cell r="A147" t="str">
            <v>AU6563</v>
          </cell>
          <cell r="H147">
            <v>232603</v>
          </cell>
        </row>
        <row r="148">
          <cell r="A148" t="str">
            <v>AU6563</v>
          </cell>
          <cell r="H148">
            <v>236021</v>
          </cell>
        </row>
        <row r="149">
          <cell r="A149" t="str">
            <v>AU7389G</v>
          </cell>
          <cell r="H149">
            <v>238837</v>
          </cell>
        </row>
        <row r="150">
          <cell r="A150" t="str">
            <v>AU6946U  -  CAT</v>
          </cell>
          <cell r="H150">
            <v>231995</v>
          </cell>
        </row>
        <row r="151">
          <cell r="A151" t="str">
            <v>AU6563</v>
          </cell>
          <cell r="H151">
            <v>231956</v>
          </cell>
        </row>
        <row r="152">
          <cell r="A152" t="str">
            <v>AU6563</v>
          </cell>
          <cell r="H152">
            <v>236020</v>
          </cell>
        </row>
        <row r="153">
          <cell r="A153" t="str">
            <v>AU7389G</v>
          </cell>
          <cell r="H153">
            <v>240389</v>
          </cell>
        </row>
        <row r="154">
          <cell r="A154" t="str">
            <v>AU6946U  -  CAT</v>
          </cell>
          <cell r="H154">
            <v>231981</v>
          </cell>
        </row>
        <row r="155">
          <cell r="A155" t="str">
            <v>AU7389G</v>
          </cell>
          <cell r="H155">
            <v>245763</v>
          </cell>
        </row>
        <row r="156">
          <cell r="A156" t="str">
            <v>AU6563</v>
          </cell>
          <cell r="H156">
            <v>232413</v>
          </cell>
        </row>
        <row r="157">
          <cell r="A157" t="str">
            <v>AU6563</v>
          </cell>
          <cell r="H157">
            <v>235610</v>
          </cell>
        </row>
        <row r="158">
          <cell r="A158" t="str">
            <v>AU7389G</v>
          </cell>
          <cell r="H158">
            <v>240391</v>
          </cell>
        </row>
        <row r="159">
          <cell r="A159" t="str">
            <v>AU6946U  -  CAT</v>
          </cell>
          <cell r="H159">
            <v>233270</v>
          </cell>
        </row>
        <row r="160">
          <cell r="A160" t="str">
            <v>AU6563</v>
          </cell>
          <cell r="H160">
            <v>233289</v>
          </cell>
        </row>
        <row r="161">
          <cell r="A161" t="str">
            <v xml:space="preserve">AU7389C </v>
          </cell>
          <cell r="H161">
            <v>238557</v>
          </cell>
        </row>
        <row r="162">
          <cell r="A162" t="str">
            <v>AU7389H</v>
          </cell>
          <cell r="H162" t="str">
            <v>241540A</v>
          </cell>
        </row>
        <row r="163">
          <cell r="A163" t="str">
            <v>AU6563</v>
          </cell>
          <cell r="H163">
            <v>232563</v>
          </cell>
        </row>
        <row r="164">
          <cell r="A164" t="str">
            <v>AU6563</v>
          </cell>
          <cell r="H164">
            <v>233290</v>
          </cell>
        </row>
        <row r="165">
          <cell r="A165" t="str">
            <v>AU6563</v>
          </cell>
          <cell r="H165">
            <v>233358</v>
          </cell>
        </row>
        <row r="166">
          <cell r="A166" t="str">
            <v>AU6563</v>
          </cell>
          <cell r="H166">
            <v>232564</v>
          </cell>
        </row>
        <row r="167">
          <cell r="A167" t="str">
            <v>AU6563</v>
          </cell>
          <cell r="H167">
            <v>233355</v>
          </cell>
        </row>
        <row r="168">
          <cell r="A168" t="str">
            <v>AU6946U  -  CAT</v>
          </cell>
          <cell r="H168">
            <v>234683</v>
          </cell>
        </row>
        <row r="169">
          <cell r="A169" t="str">
            <v>AU6563</v>
          </cell>
          <cell r="H169">
            <v>232562</v>
          </cell>
        </row>
        <row r="170">
          <cell r="A170" t="str">
            <v>AU6563</v>
          </cell>
          <cell r="H170">
            <v>233359</v>
          </cell>
        </row>
        <row r="171">
          <cell r="A171" t="str">
            <v>AU6946U  -  CAT</v>
          </cell>
          <cell r="H171">
            <v>234685</v>
          </cell>
        </row>
        <row r="172">
          <cell r="A172" t="str">
            <v>AU7538B</v>
          </cell>
          <cell r="H172">
            <v>242318</v>
          </cell>
        </row>
        <row r="173">
          <cell r="A173" t="str">
            <v>AU6946U  -  CAT</v>
          </cell>
          <cell r="H173">
            <v>234684</v>
          </cell>
        </row>
        <row r="174">
          <cell r="A174" t="str">
            <v xml:space="preserve"> AU7389G</v>
          </cell>
          <cell r="H174">
            <v>241346</v>
          </cell>
        </row>
        <row r="175">
          <cell r="A175" t="str">
            <v>AU7389G</v>
          </cell>
          <cell r="H175">
            <v>241147</v>
          </cell>
        </row>
        <row r="176">
          <cell r="A176" t="str">
            <v>AU7389G</v>
          </cell>
          <cell r="H176">
            <v>238880</v>
          </cell>
        </row>
        <row r="177">
          <cell r="A177" t="str">
            <v>AU6563</v>
          </cell>
          <cell r="H177">
            <v>229313</v>
          </cell>
        </row>
        <row r="178">
          <cell r="A178" t="str">
            <v>AU6563</v>
          </cell>
          <cell r="H178">
            <v>230406</v>
          </cell>
        </row>
        <row r="179">
          <cell r="A179" t="str">
            <v>AU6563</v>
          </cell>
          <cell r="H179">
            <v>234297</v>
          </cell>
        </row>
        <row r="180">
          <cell r="A180" t="str">
            <v>AU6563</v>
          </cell>
          <cell r="H180">
            <v>234298</v>
          </cell>
        </row>
        <row r="181">
          <cell r="A181" t="str">
            <v>AU7389G</v>
          </cell>
          <cell r="H181" t="str">
            <v>RSHMOLTOBLK1473</v>
          </cell>
        </row>
        <row r="182">
          <cell r="A182" t="str">
            <v>AU6563</v>
          </cell>
          <cell r="H182" t="str">
            <v>RSHMOLTOBK</v>
          </cell>
        </row>
        <row r="183">
          <cell r="A183" t="str">
            <v>AU6563</v>
          </cell>
          <cell r="H183">
            <v>237972</v>
          </cell>
        </row>
        <row r="184">
          <cell r="A184" t="str">
            <v>AU6563</v>
          </cell>
          <cell r="H184" t="str">
            <v>RSHMOLTONB</v>
          </cell>
        </row>
        <row r="185">
          <cell r="A185" t="str">
            <v>AU7389G</v>
          </cell>
          <cell r="H185" t="str">
            <v>RSHMOLTOWT1473</v>
          </cell>
        </row>
        <row r="186">
          <cell r="A186" t="str">
            <v>AU6563</v>
          </cell>
          <cell r="H186" t="str">
            <v>RSHMOLTOWT</v>
          </cell>
        </row>
        <row r="187">
          <cell r="A187" t="str">
            <v>AU6563</v>
          </cell>
          <cell r="H187">
            <v>237973</v>
          </cell>
        </row>
        <row r="188">
          <cell r="A188" t="str">
            <v>AU7389G</v>
          </cell>
          <cell r="H188" t="str">
            <v>RSHMOLTOHZL1473</v>
          </cell>
        </row>
        <row r="189">
          <cell r="A189" t="str">
            <v>AU6563</v>
          </cell>
          <cell r="H189" t="str">
            <v>RSHMOLTOHZL</v>
          </cell>
        </row>
        <row r="190">
          <cell r="A190" t="str">
            <v>AU7389H</v>
          </cell>
          <cell r="H190">
            <v>237257</v>
          </cell>
        </row>
        <row r="191">
          <cell r="A191" t="str">
            <v>AU7389H</v>
          </cell>
          <cell r="H191">
            <v>245453</v>
          </cell>
        </row>
        <row r="192">
          <cell r="A192" t="str">
            <v>AU7538B</v>
          </cell>
          <cell r="H192">
            <v>240923</v>
          </cell>
        </row>
        <row r="193">
          <cell r="A193" t="str">
            <v>AU7538B</v>
          </cell>
          <cell r="H193">
            <v>235664</v>
          </cell>
        </row>
        <row r="194">
          <cell r="A194" t="str">
            <v>AU7538B</v>
          </cell>
          <cell r="H194">
            <v>242317</v>
          </cell>
        </row>
        <row r="195">
          <cell r="A195" t="str">
            <v>AU6946U  -  CAT</v>
          </cell>
          <cell r="H195">
            <v>235663</v>
          </cell>
        </row>
        <row r="196">
          <cell r="A196" t="str">
            <v>AU7538B</v>
          </cell>
          <cell r="H196">
            <v>246230</v>
          </cell>
        </row>
        <row r="197">
          <cell r="A197" t="str">
            <v>AU6946U  -  CAT</v>
          </cell>
          <cell r="H197">
            <v>237210</v>
          </cell>
        </row>
        <row r="198">
          <cell r="A198" t="str">
            <v>AU7538B</v>
          </cell>
          <cell r="H198">
            <v>246227</v>
          </cell>
        </row>
        <row r="199">
          <cell r="A199" t="str">
            <v>AU6946U  -  CAT</v>
          </cell>
          <cell r="H199">
            <v>241164</v>
          </cell>
        </row>
        <row r="200">
          <cell r="A200" t="str">
            <v>AU7538B</v>
          </cell>
          <cell r="H200">
            <v>242435</v>
          </cell>
        </row>
        <row r="201">
          <cell r="A201" t="str">
            <v>AU7538B</v>
          </cell>
          <cell r="H201">
            <v>246229</v>
          </cell>
        </row>
        <row r="202">
          <cell r="A202" t="str">
            <v>AU7538B</v>
          </cell>
          <cell r="H202">
            <v>243851</v>
          </cell>
        </row>
        <row r="203">
          <cell r="A203" t="str">
            <v>AU7538B</v>
          </cell>
          <cell r="H203">
            <v>243849</v>
          </cell>
        </row>
        <row r="204">
          <cell r="A204" t="str">
            <v>AU7538B</v>
          </cell>
          <cell r="H204">
            <v>243850</v>
          </cell>
        </row>
        <row r="205">
          <cell r="A205" t="str">
            <v>AU7389H</v>
          </cell>
          <cell r="H205" t="str">
            <v>5011790-J1VZ</v>
          </cell>
        </row>
        <row r="206">
          <cell r="A206" t="str">
            <v>AU7389H</v>
          </cell>
          <cell r="H206" t="str">
            <v>5011790-H2G6</v>
          </cell>
        </row>
        <row r="207">
          <cell r="A207" t="str">
            <v>AU7389H</v>
          </cell>
          <cell r="H207">
            <v>244366</v>
          </cell>
        </row>
        <row r="208">
          <cell r="A208" t="str">
            <v>AU7389H</v>
          </cell>
          <cell r="H208">
            <v>244367</v>
          </cell>
        </row>
        <row r="209">
          <cell r="A209" t="str">
            <v>AU7389H</v>
          </cell>
          <cell r="H209">
            <v>244368</v>
          </cell>
        </row>
        <row r="210">
          <cell r="A210" t="str">
            <v>NJ-85</v>
          </cell>
          <cell r="H210" t="str">
            <v>211213B</v>
          </cell>
        </row>
        <row r="211">
          <cell r="A211" t="str">
            <v>AU7368H</v>
          </cell>
          <cell r="H211">
            <v>242039</v>
          </cell>
        </row>
        <row r="212">
          <cell r="A212" t="str">
            <v>AU1148KWT</v>
          </cell>
          <cell r="H212">
            <v>224277</v>
          </cell>
        </row>
        <row r="213">
          <cell r="A213" t="str">
            <v>AU2958A</v>
          </cell>
          <cell r="H213">
            <v>227863</v>
          </cell>
        </row>
        <row r="214">
          <cell r="A214" t="str">
            <v>AU2958A</v>
          </cell>
          <cell r="H214">
            <v>227864</v>
          </cell>
        </row>
        <row r="215">
          <cell r="A215" t="str">
            <v>AU2958A</v>
          </cell>
          <cell r="H215">
            <v>224990</v>
          </cell>
        </row>
        <row r="216">
          <cell r="A216" t="str">
            <v>AU2958A</v>
          </cell>
          <cell r="H216">
            <v>226869</v>
          </cell>
        </row>
        <row r="217">
          <cell r="A217" t="str">
            <v>AU2958A</v>
          </cell>
          <cell r="H217">
            <v>226867</v>
          </cell>
        </row>
        <row r="218">
          <cell r="A218" t="str">
            <v>AU2958A</v>
          </cell>
          <cell r="H218">
            <v>226868</v>
          </cell>
        </row>
        <row r="219">
          <cell r="A219" t="str">
            <v>AU2958A</v>
          </cell>
          <cell r="H219">
            <v>233414</v>
          </cell>
        </row>
        <row r="220">
          <cell r="A220" t="str">
            <v>AU2958A</v>
          </cell>
          <cell r="H220">
            <v>240213</v>
          </cell>
        </row>
        <row r="221">
          <cell r="A221" t="str">
            <v>AU2958A</v>
          </cell>
          <cell r="H221" t="str">
            <v>227864A</v>
          </cell>
        </row>
        <row r="222">
          <cell r="A222" t="str">
            <v>AU2958A</v>
          </cell>
          <cell r="H222">
            <v>224973</v>
          </cell>
        </row>
        <row r="223">
          <cell r="A223" t="str">
            <v>AU4398</v>
          </cell>
          <cell r="H223">
            <v>212490</v>
          </cell>
        </row>
        <row r="224">
          <cell r="A224" t="str">
            <v>AU4398</v>
          </cell>
          <cell r="H224">
            <v>228019</v>
          </cell>
        </row>
        <row r="225">
          <cell r="A225" t="str">
            <v>AU5429D</v>
          </cell>
          <cell r="H225">
            <v>230938</v>
          </cell>
        </row>
        <row r="226">
          <cell r="A226" t="str">
            <v>AU5429D</v>
          </cell>
          <cell r="H226">
            <v>233476</v>
          </cell>
        </row>
        <row r="227">
          <cell r="A227" t="str">
            <v>AU5429D</v>
          </cell>
          <cell r="H227">
            <v>234453</v>
          </cell>
        </row>
        <row r="228">
          <cell r="A228" t="str">
            <v>AU5429D</v>
          </cell>
          <cell r="H228">
            <v>226321</v>
          </cell>
        </row>
        <row r="229">
          <cell r="A229" t="str">
            <v>AU5429D</v>
          </cell>
          <cell r="H229">
            <v>226322</v>
          </cell>
        </row>
        <row r="230">
          <cell r="A230" t="str">
            <v>AU5429D</v>
          </cell>
          <cell r="H230">
            <v>230939</v>
          </cell>
        </row>
        <row r="231">
          <cell r="A231" t="str">
            <v>AU5429D</v>
          </cell>
          <cell r="H231">
            <v>233322</v>
          </cell>
        </row>
        <row r="232">
          <cell r="A232" t="str">
            <v>AU5429D</v>
          </cell>
          <cell r="H232">
            <v>238187</v>
          </cell>
        </row>
        <row r="233">
          <cell r="A233" t="str">
            <v>AU5429D</v>
          </cell>
          <cell r="H233">
            <v>212472</v>
          </cell>
        </row>
        <row r="234">
          <cell r="A234" t="str">
            <v>AU5429D</v>
          </cell>
          <cell r="H234">
            <v>229508</v>
          </cell>
        </row>
        <row r="235">
          <cell r="A235" t="str">
            <v>AU5429D</v>
          </cell>
          <cell r="H235">
            <v>236683</v>
          </cell>
        </row>
        <row r="236">
          <cell r="A236" t="str">
            <v>AU2958A</v>
          </cell>
          <cell r="H236">
            <v>228020</v>
          </cell>
        </row>
        <row r="237">
          <cell r="A237" t="str">
            <v>AU2958A</v>
          </cell>
          <cell r="H237">
            <v>228933</v>
          </cell>
        </row>
        <row r="238">
          <cell r="A238" t="str">
            <v>AU2958A</v>
          </cell>
          <cell r="H238" t="str">
            <v>228427A</v>
          </cell>
        </row>
        <row r="239">
          <cell r="A239" t="str">
            <v>AU2958A</v>
          </cell>
          <cell r="H239">
            <v>234437</v>
          </cell>
        </row>
        <row r="240">
          <cell r="A240" t="str">
            <v>AU2958A</v>
          </cell>
          <cell r="H240">
            <v>240210</v>
          </cell>
        </row>
        <row r="241">
          <cell r="A241" t="str">
            <v>AU2958A</v>
          </cell>
          <cell r="H241">
            <v>227274</v>
          </cell>
        </row>
        <row r="242">
          <cell r="A242" t="str">
            <v>AU2958A</v>
          </cell>
          <cell r="H242">
            <v>228552</v>
          </cell>
        </row>
        <row r="243">
          <cell r="A243" t="str">
            <v>AU7614-BKAN</v>
          </cell>
          <cell r="H243">
            <v>241459</v>
          </cell>
        </row>
        <row r="244">
          <cell r="A244" t="str">
            <v>AU7614-CGAN</v>
          </cell>
          <cell r="H244">
            <v>242877</v>
          </cell>
        </row>
        <row r="245">
          <cell r="A245" t="str">
            <v>AU7614</v>
          </cell>
          <cell r="H245" t="str">
            <v>K1001122</v>
          </cell>
        </row>
        <row r="246">
          <cell r="A246" t="str">
            <v>AU7614CLG-186</v>
          </cell>
          <cell r="H246">
            <v>246217</v>
          </cell>
        </row>
        <row r="247">
          <cell r="A247" t="str">
            <v>AU1148G36</v>
          </cell>
          <cell r="H247">
            <v>228269</v>
          </cell>
        </row>
        <row r="248">
          <cell r="A248" t="str">
            <v>AU1148G36</v>
          </cell>
          <cell r="H248">
            <v>227414</v>
          </cell>
        </row>
        <row r="249">
          <cell r="A249" t="str">
            <v>AU4583 210</v>
          </cell>
          <cell r="H249" t="str">
            <v>220014A</v>
          </cell>
        </row>
        <row r="250">
          <cell r="A250" t="str">
            <v>AU4583 210</v>
          </cell>
          <cell r="H250" t="str">
            <v>220010A</v>
          </cell>
        </row>
        <row r="251">
          <cell r="A251" t="str">
            <v>AU4583 210</v>
          </cell>
          <cell r="H251" t="str">
            <v>221075A</v>
          </cell>
        </row>
        <row r="252">
          <cell r="A252" t="str">
            <v>AU4583 210</v>
          </cell>
          <cell r="H252">
            <v>237363</v>
          </cell>
        </row>
        <row r="253">
          <cell r="A253" t="str">
            <v>AU4583</v>
          </cell>
          <cell r="H253">
            <v>220207</v>
          </cell>
        </row>
        <row r="254">
          <cell r="A254" t="str">
            <v>AU4583</v>
          </cell>
          <cell r="H254">
            <v>226354</v>
          </cell>
        </row>
        <row r="255">
          <cell r="A255" t="str">
            <v>AU4583</v>
          </cell>
          <cell r="H255">
            <v>234794</v>
          </cell>
        </row>
        <row r="256">
          <cell r="A256" t="str">
            <v>AU4583</v>
          </cell>
          <cell r="H256">
            <v>211703</v>
          </cell>
        </row>
        <row r="257">
          <cell r="A257" t="str">
            <v>AU4583</v>
          </cell>
          <cell r="H257">
            <v>226353</v>
          </cell>
        </row>
        <row r="258">
          <cell r="A258" t="str">
            <v>AU4583</v>
          </cell>
          <cell r="H258">
            <v>221966</v>
          </cell>
        </row>
        <row r="259">
          <cell r="A259" t="str">
            <v>AU4583</v>
          </cell>
          <cell r="H259">
            <v>225514</v>
          </cell>
        </row>
        <row r="260">
          <cell r="A260" t="str">
            <v>AU4583 210</v>
          </cell>
          <cell r="H260">
            <v>235159</v>
          </cell>
        </row>
        <row r="261">
          <cell r="A261" t="str">
            <v>AU4583 210</v>
          </cell>
          <cell r="H261">
            <v>229374</v>
          </cell>
        </row>
        <row r="262">
          <cell r="A262" t="str">
            <v>AU4583</v>
          </cell>
          <cell r="H262">
            <v>226043</v>
          </cell>
        </row>
        <row r="263">
          <cell r="A263" t="str">
            <v>AU4583 210</v>
          </cell>
          <cell r="H263">
            <v>234060</v>
          </cell>
        </row>
        <row r="264">
          <cell r="A264" t="str">
            <v>AU4583 210</v>
          </cell>
          <cell r="H264">
            <v>229935</v>
          </cell>
        </row>
        <row r="265">
          <cell r="A265" t="str">
            <v>AU4583</v>
          </cell>
          <cell r="H265">
            <v>226042</v>
          </cell>
        </row>
        <row r="266">
          <cell r="A266" t="str">
            <v>AU4583 210</v>
          </cell>
          <cell r="H266">
            <v>229431</v>
          </cell>
        </row>
        <row r="267">
          <cell r="A267" t="str">
            <v>AU4583</v>
          </cell>
          <cell r="H267">
            <v>237034</v>
          </cell>
        </row>
        <row r="268">
          <cell r="A268" t="str">
            <v>AU4583</v>
          </cell>
          <cell r="H268">
            <v>237033</v>
          </cell>
        </row>
        <row r="269">
          <cell r="A269" t="str">
            <v>AU4583 210</v>
          </cell>
          <cell r="H269">
            <v>212283</v>
          </cell>
        </row>
        <row r="270">
          <cell r="A270" t="str">
            <v>AU4583 210</v>
          </cell>
          <cell r="H270">
            <v>222127</v>
          </cell>
        </row>
        <row r="271">
          <cell r="A271" t="str">
            <v>AU4583 210</v>
          </cell>
          <cell r="H271">
            <v>217360</v>
          </cell>
        </row>
        <row r="272">
          <cell r="A272" t="str">
            <v>AU4583 210</v>
          </cell>
          <cell r="H272">
            <v>232026</v>
          </cell>
        </row>
        <row r="273">
          <cell r="A273" t="str">
            <v>AU4583 210</v>
          </cell>
          <cell r="H273">
            <v>219113</v>
          </cell>
        </row>
        <row r="274">
          <cell r="A274" t="str">
            <v>AU4583 210</v>
          </cell>
          <cell r="H274">
            <v>235187</v>
          </cell>
        </row>
        <row r="275">
          <cell r="A275" t="str">
            <v>AU4583 210</v>
          </cell>
          <cell r="H275">
            <v>235188</v>
          </cell>
        </row>
        <row r="276">
          <cell r="A276" t="str">
            <v>AU4583 210</v>
          </cell>
          <cell r="H276">
            <v>235189</v>
          </cell>
        </row>
        <row r="277">
          <cell r="A277" t="str">
            <v>AU4583 210</v>
          </cell>
          <cell r="H277">
            <v>235191</v>
          </cell>
        </row>
        <row r="278">
          <cell r="A278" t="str">
            <v>AU4398</v>
          </cell>
          <cell r="H278">
            <v>224010</v>
          </cell>
        </row>
        <row r="279">
          <cell r="A279" t="str">
            <v>AU2958A</v>
          </cell>
          <cell r="H279">
            <v>231904</v>
          </cell>
        </row>
        <row r="280">
          <cell r="A280" t="str">
            <v>AU2958A</v>
          </cell>
          <cell r="H280">
            <v>220849</v>
          </cell>
        </row>
        <row r="281">
          <cell r="A281" t="str">
            <v>AU2958A</v>
          </cell>
          <cell r="H281">
            <v>223475</v>
          </cell>
        </row>
        <row r="282">
          <cell r="A282" t="str">
            <v>AU4398</v>
          </cell>
          <cell r="H282">
            <v>224011</v>
          </cell>
        </row>
        <row r="283">
          <cell r="A283" t="str">
            <v>AU2958A</v>
          </cell>
          <cell r="H283">
            <v>231907</v>
          </cell>
        </row>
        <row r="284">
          <cell r="A284" t="str">
            <v>AU2958A</v>
          </cell>
          <cell r="H284">
            <v>220852</v>
          </cell>
        </row>
        <row r="285">
          <cell r="A285" t="str">
            <v>AU2958A</v>
          </cell>
          <cell r="H285">
            <v>224694</v>
          </cell>
        </row>
        <row r="286">
          <cell r="A286" t="str">
            <v>AU4398</v>
          </cell>
          <cell r="H286">
            <v>231165</v>
          </cell>
        </row>
        <row r="287">
          <cell r="A287" t="str">
            <v>AU2958A</v>
          </cell>
          <cell r="H287">
            <v>231906</v>
          </cell>
        </row>
        <row r="288">
          <cell r="A288" t="str">
            <v>AU2958A</v>
          </cell>
          <cell r="H288">
            <v>233393</v>
          </cell>
        </row>
        <row r="289">
          <cell r="A289" t="str">
            <v>AU4398</v>
          </cell>
          <cell r="H289">
            <v>224944</v>
          </cell>
        </row>
        <row r="290">
          <cell r="A290" t="str">
            <v>AU4398</v>
          </cell>
          <cell r="H290">
            <v>228150</v>
          </cell>
        </row>
        <row r="291">
          <cell r="A291" t="str">
            <v>AU4398</v>
          </cell>
          <cell r="H291">
            <v>240330</v>
          </cell>
        </row>
        <row r="292">
          <cell r="A292" t="str">
            <v>AU4398</v>
          </cell>
          <cell r="H292">
            <v>227208</v>
          </cell>
        </row>
        <row r="293">
          <cell r="A293" t="str">
            <v>AU4398</v>
          </cell>
          <cell r="H293">
            <v>234176</v>
          </cell>
        </row>
        <row r="294">
          <cell r="A294" t="str">
            <v>AU4398</v>
          </cell>
          <cell r="H294">
            <v>231166</v>
          </cell>
        </row>
        <row r="295">
          <cell r="A295" t="str">
            <v>AU2958A</v>
          </cell>
          <cell r="H295">
            <v>234178</v>
          </cell>
        </row>
        <row r="296">
          <cell r="A296" t="str">
            <v>AU4398</v>
          </cell>
          <cell r="H296">
            <v>219068</v>
          </cell>
        </row>
        <row r="297">
          <cell r="A297" t="str">
            <v>AU4398</v>
          </cell>
          <cell r="H297">
            <v>231627</v>
          </cell>
        </row>
        <row r="298">
          <cell r="A298" t="str">
            <v>AU2958A</v>
          </cell>
          <cell r="H298">
            <v>231908</v>
          </cell>
        </row>
        <row r="299">
          <cell r="A299" t="str">
            <v>AU4398</v>
          </cell>
          <cell r="H299">
            <v>224943</v>
          </cell>
        </row>
        <row r="300">
          <cell r="A300" t="str">
            <v>AU4398</v>
          </cell>
          <cell r="H300">
            <v>228148</v>
          </cell>
        </row>
        <row r="301">
          <cell r="A301" t="str">
            <v>AU4398</v>
          </cell>
          <cell r="H301">
            <v>240332</v>
          </cell>
        </row>
        <row r="302">
          <cell r="A302" t="str">
            <v>AU4398</v>
          </cell>
          <cell r="H302">
            <v>219558</v>
          </cell>
        </row>
        <row r="303">
          <cell r="A303" t="str">
            <v>AU4398</v>
          </cell>
          <cell r="H303">
            <v>234175</v>
          </cell>
        </row>
        <row r="304">
          <cell r="A304" t="str">
            <v>AU4398</v>
          </cell>
          <cell r="H304">
            <v>223227</v>
          </cell>
        </row>
        <row r="305">
          <cell r="A305" t="str">
            <v>AU4398</v>
          </cell>
          <cell r="H305">
            <v>223226</v>
          </cell>
        </row>
        <row r="306">
          <cell r="A306" t="str">
            <v>AU4398</v>
          </cell>
          <cell r="H306">
            <v>229962</v>
          </cell>
        </row>
        <row r="307">
          <cell r="A307" t="str">
            <v>AU2958A</v>
          </cell>
          <cell r="H307">
            <v>231903</v>
          </cell>
        </row>
        <row r="308">
          <cell r="A308" t="str">
            <v>AU2958A</v>
          </cell>
          <cell r="H308">
            <v>236343</v>
          </cell>
        </row>
        <row r="309">
          <cell r="A309" t="str">
            <v>AU2958A</v>
          </cell>
          <cell r="H309">
            <v>227949</v>
          </cell>
        </row>
        <row r="310">
          <cell r="A310" t="str">
            <v>AU4398</v>
          </cell>
          <cell r="H310">
            <v>228149</v>
          </cell>
        </row>
        <row r="311">
          <cell r="A311" t="str">
            <v>AU4398</v>
          </cell>
          <cell r="H311">
            <v>229599</v>
          </cell>
        </row>
        <row r="312">
          <cell r="A312" t="str">
            <v>AU4398</v>
          </cell>
          <cell r="H312">
            <v>240331</v>
          </cell>
        </row>
        <row r="313">
          <cell r="A313" t="str">
            <v>AU4398</v>
          </cell>
          <cell r="H313">
            <v>228653</v>
          </cell>
        </row>
        <row r="314">
          <cell r="A314" t="str">
            <v>AU4398</v>
          </cell>
          <cell r="H314">
            <v>229961</v>
          </cell>
        </row>
        <row r="315">
          <cell r="A315" t="str">
            <v>AU2958A</v>
          </cell>
          <cell r="H315">
            <v>231905</v>
          </cell>
        </row>
        <row r="316">
          <cell r="A316" t="str">
            <v>AU2958A</v>
          </cell>
          <cell r="H316">
            <v>227688</v>
          </cell>
        </row>
        <row r="317">
          <cell r="A317" t="str">
            <v>AU2958A</v>
          </cell>
          <cell r="H317">
            <v>224620</v>
          </cell>
        </row>
        <row r="318">
          <cell r="A318" t="str">
            <v>AU2958A</v>
          </cell>
          <cell r="H318">
            <v>230778</v>
          </cell>
        </row>
        <row r="319">
          <cell r="A319" t="str">
            <v>AU2958A</v>
          </cell>
          <cell r="H319">
            <v>225107</v>
          </cell>
        </row>
        <row r="320">
          <cell r="A320" t="str">
            <v>AU4398</v>
          </cell>
          <cell r="H320">
            <v>229119</v>
          </cell>
        </row>
        <row r="321">
          <cell r="A321" t="str">
            <v>AU4398</v>
          </cell>
          <cell r="H321">
            <v>229598</v>
          </cell>
        </row>
        <row r="322">
          <cell r="A322" t="str">
            <v>AU2958A</v>
          </cell>
          <cell r="H322">
            <v>230412</v>
          </cell>
        </row>
        <row r="323">
          <cell r="A323" t="str">
            <v>AU4398</v>
          </cell>
          <cell r="H323" t="str">
            <v>230539A</v>
          </cell>
        </row>
        <row r="324">
          <cell r="A324" t="str">
            <v>AU7529</v>
          </cell>
          <cell r="H324" t="str">
            <v>227208A</v>
          </cell>
        </row>
        <row r="325">
          <cell r="A325" t="str">
            <v>AU7529</v>
          </cell>
          <cell r="H325" t="str">
            <v>219068A</v>
          </cell>
        </row>
        <row r="326">
          <cell r="A326" t="str">
            <v>AU7529</v>
          </cell>
          <cell r="H326" t="str">
            <v>219558A</v>
          </cell>
        </row>
        <row r="327">
          <cell r="A327" t="str">
            <v>AU7529</v>
          </cell>
          <cell r="H327" t="str">
            <v>228653A</v>
          </cell>
        </row>
        <row r="328">
          <cell r="A328" t="str">
            <v>AU4398</v>
          </cell>
          <cell r="H328">
            <v>242023</v>
          </cell>
        </row>
        <row r="329">
          <cell r="A329" t="str">
            <v>AU6953</v>
          </cell>
          <cell r="H329">
            <v>242949</v>
          </cell>
        </row>
        <row r="330">
          <cell r="A330" t="str">
            <v>AU6953</v>
          </cell>
          <cell r="H330">
            <v>237235</v>
          </cell>
        </row>
        <row r="331">
          <cell r="A331" t="str">
            <v>AU6953</v>
          </cell>
          <cell r="H331">
            <v>238562</v>
          </cell>
        </row>
        <row r="332">
          <cell r="A332" t="str">
            <v>AU7130</v>
          </cell>
          <cell r="H332">
            <v>242948</v>
          </cell>
        </row>
        <row r="333">
          <cell r="A333" t="str">
            <v>AU7130</v>
          </cell>
          <cell r="H333">
            <v>237237</v>
          </cell>
        </row>
        <row r="334">
          <cell r="A334" t="str">
            <v>AU7130</v>
          </cell>
          <cell r="H334">
            <v>237837</v>
          </cell>
        </row>
        <row r="335">
          <cell r="A335" t="str">
            <v>AU6953</v>
          </cell>
          <cell r="H335">
            <v>236102</v>
          </cell>
        </row>
        <row r="336">
          <cell r="A336" t="str">
            <v>AU6953</v>
          </cell>
          <cell r="H336">
            <v>237234</v>
          </cell>
        </row>
        <row r="337">
          <cell r="A337" t="str">
            <v>AU6953</v>
          </cell>
          <cell r="H337">
            <v>238561</v>
          </cell>
        </row>
        <row r="338">
          <cell r="A338" t="str">
            <v>AU6953</v>
          </cell>
          <cell r="H338">
            <v>242950</v>
          </cell>
        </row>
        <row r="339">
          <cell r="A339" t="str">
            <v>AU6953</v>
          </cell>
          <cell r="H339">
            <v>237236</v>
          </cell>
        </row>
        <row r="340">
          <cell r="A340" t="str">
            <v>AU6953</v>
          </cell>
          <cell r="H340">
            <v>238560</v>
          </cell>
        </row>
        <row r="341">
          <cell r="A341" t="str">
            <v>AU6953</v>
          </cell>
          <cell r="H341">
            <v>236344</v>
          </cell>
        </row>
        <row r="342">
          <cell r="A342" t="str">
            <v>AU6953</v>
          </cell>
          <cell r="H342">
            <v>236345</v>
          </cell>
        </row>
        <row r="343">
          <cell r="A343" t="str">
            <v>AU6953</v>
          </cell>
          <cell r="H343">
            <v>237038</v>
          </cell>
        </row>
        <row r="344">
          <cell r="A344" t="str">
            <v>AU7130</v>
          </cell>
          <cell r="H344">
            <v>237039</v>
          </cell>
        </row>
        <row r="345">
          <cell r="A345" t="str">
            <v>AU3426H</v>
          </cell>
          <cell r="H345">
            <v>238461</v>
          </cell>
        </row>
        <row r="346">
          <cell r="A346" t="str">
            <v>AU3426H</v>
          </cell>
          <cell r="H346">
            <v>243080</v>
          </cell>
        </row>
        <row r="347">
          <cell r="A347" t="str">
            <v>AU3426H</v>
          </cell>
          <cell r="H347">
            <v>241004</v>
          </cell>
        </row>
        <row r="348">
          <cell r="A348" t="str">
            <v>AU3426H</v>
          </cell>
          <cell r="H348">
            <v>238913</v>
          </cell>
        </row>
        <row r="349">
          <cell r="A349" t="str">
            <v>AU3426H</v>
          </cell>
          <cell r="H349">
            <v>238128</v>
          </cell>
        </row>
        <row r="350">
          <cell r="A350" t="str">
            <v>AU3426H</v>
          </cell>
          <cell r="H350">
            <v>244425</v>
          </cell>
        </row>
        <row r="351">
          <cell r="A351" t="str">
            <v>AU3426H</v>
          </cell>
          <cell r="H351">
            <v>241003</v>
          </cell>
        </row>
        <row r="352">
          <cell r="A352" t="str">
            <v>AU3426H</v>
          </cell>
          <cell r="H352">
            <v>238912</v>
          </cell>
        </row>
        <row r="353">
          <cell r="A353" t="str">
            <v>AU3426H</v>
          </cell>
          <cell r="H353">
            <v>243081</v>
          </cell>
        </row>
        <row r="354">
          <cell r="A354" t="str">
            <v>AU7389G</v>
          </cell>
          <cell r="H354">
            <v>238881</v>
          </cell>
        </row>
        <row r="355">
          <cell r="A355" t="str">
            <v>AU4782K</v>
          </cell>
          <cell r="H355">
            <v>244704</v>
          </cell>
        </row>
        <row r="356">
          <cell r="A356" t="str">
            <v>AU7389G</v>
          </cell>
          <cell r="H356">
            <v>246030</v>
          </cell>
        </row>
        <row r="357">
          <cell r="A357" t="str">
            <v>AU7389G</v>
          </cell>
          <cell r="H357">
            <v>247298</v>
          </cell>
        </row>
        <row r="358">
          <cell r="A358" t="str">
            <v>AU3426H</v>
          </cell>
          <cell r="H358">
            <v>247823</v>
          </cell>
        </row>
        <row r="359">
          <cell r="A359" t="str">
            <v>AU7389H</v>
          </cell>
          <cell r="H359" t="str">
            <v>246106A</v>
          </cell>
        </row>
        <row r="360">
          <cell r="A360" t="str">
            <v>AU7538B</v>
          </cell>
          <cell r="H360">
            <v>248002</v>
          </cell>
        </row>
        <row r="361">
          <cell r="A361" t="str">
            <v>AU7389H</v>
          </cell>
          <cell r="H361">
            <v>246884</v>
          </cell>
        </row>
        <row r="362">
          <cell r="A362" t="str">
            <v>AU7389H</v>
          </cell>
          <cell r="H362">
            <v>247892</v>
          </cell>
        </row>
        <row r="363">
          <cell r="A363" t="str">
            <v>AU5429D</v>
          </cell>
          <cell r="H363">
            <v>245904</v>
          </cell>
        </row>
        <row r="364">
          <cell r="A364" t="str">
            <v>AU3426H</v>
          </cell>
          <cell r="H364">
            <v>241674</v>
          </cell>
        </row>
        <row r="365">
          <cell r="A365" t="str">
            <v>AU5429D</v>
          </cell>
          <cell r="H365">
            <v>246264</v>
          </cell>
        </row>
        <row r="366">
          <cell r="A366" t="str">
            <v>AU7389G</v>
          </cell>
          <cell r="H366">
            <v>246293</v>
          </cell>
        </row>
        <row r="367">
          <cell r="A367" t="str">
            <v>AU7389G</v>
          </cell>
          <cell r="H367">
            <v>246294</v>
          </cell>
        </row>
        <row r="368">
          <cell r="A368" t="str">
            <v>AU4398</v>
          </cell>
          <cell r="H368">
            <v>246416</v>
          </cell>
        </row>
        <row r="369">
          <cell r="A369" t="str">
            <v>AU4782K</v>
          </cell>
          <cell r="H369">
            <v>242792</v>
          </cell>
        </row>
        <row r="370">
          <cell r="A370" t="str">
            <v>AU5429D</v>
          </cell>
          <cell r="H370">
            <v>245116</v>
          </cell>
        </row>
        <row r="371">
          <cell r="A371" t="str">
            <v>AU4583</v>
          </cell>
          <cell r="H371">
            <v>245387</v>
          </cell>
        </row>
        <row r="372">
          <cell r="A372" t="str">
            <v>AU5429D</v>
          </cell>
          <cell r="H372">
            <v>241542</v>
          </cell>
        </row>
        <row r="373">
          <cell r="A373" t="str">
            <v>AU3426H</v>
          </cell>
          <cell r="H373">
            <v>242559</v>
          </cell>
        </row>
        <row r="374">
          <cell r="A374" t="str">
            <v>AU5429D</v>
          </cell>
          <cell r="H374">
            <v>245117</v>
          </cell>
        </row>
        <row r="375">
          <cell r="A375" t="str">
            <v>AU3426 Wide</v>
          </cell>
          <cell r="H375">
            <v>245348</v>
          </cell>
        </row>
        <row r="376">
          <cell r="A376" t="str">
            <v>AU3426</v>
          </cell>
          <cell r="H376">
            <v>246262</v>
          </cell>
        </row>
        <row r="377">
          <cell r="A377" t="str">
            <v>AU3426</v>
          </cell>
          <cell r="H377">
            <v>246263</v>
          </cell>
        </row>
        <row r="378">
          <cell r="A378" t="str">
            <v>AU3426 Wide</v>
          </cell>
          <cell r="H378">
            <v>247173</v>
          </cell>
        </row>
        <row r="379">
          <cell r="A379" t="str">
            <v>AUSR7980</v>
          </cell>
          <cell r="H379">
            <v>248213</v>
          </cell>
        </row>
        <row r="380">
          <cell r="A380" t="str">
            <v>AU4782</v>
          </cell>
          <cell r="H380">
            <v>248671</v>
          </cell>
        </row>
        <row r="381">
          <cell r="A381" t="str">
            <v>AU4782</v>
          </cell>
          <cell r="H381">
            <v>249359</v>
          </cell>
        </row>
        <row r="382">
          <cell r="A382" t="str">
            <v>AU4782</v>
          </cell>
          <cell r="H382">
            <v>249361</v>
          </cell>
        </row>
        <row r="383">
          <cell r="A383" t="str">
            <v>AUSR7980</v>
          </cell>
          <cell r="H383">
            <v>250278</v>
          </cell>
        </row>
        <row r="384">
          <cell r="A384" t="str">
            <v>AU5429D</v>
          </cell>
          <cell r="H384">
            <v>248238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hooper\OneDrive%20-%20Shawmut%20Corporation\Desktop\Adaptive%20Order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oper, Lynette" refreshedDate="45882.737469560183" createdVersion="8" refreshedVersion="8" minRefreshableVersion="3" recordCount="33" xr:uid="{9167F707-86FD-44CF-873B-F09CD3801E16}">
  <cacheSource type="worksheet">
    <worksheetSource ref="A1:E34" sheet="Adaptive Orders" r:id="rId2"/>
  </cacheSource>
  <cacheFields count="5">
    <cacheField name="PA Item" numFmtId="0">
      <sharedItems count="22">
        <s v="FF ARCTIC-39811-136"/>
        <s v="FF TR684B-40610-120"/>
        <s v="FF TR570B-39777-144"/>
        <s v="FF MESA-39307-126"/>
        <s v="FF AU3426M-38840-128"/>
        <s v="FF SPRUCE-39433-134"/>
        <s v="FF LYRICHELHS-41114-126"/>
        <s v="FF AURA30000-40359-136"/>
        <s v="FF ANMUT-C-NA-40487-132"/>
        <s v="FF ANMUT-C-NA-40488-132"/>
        <s v="FF PROVT-NDWR-40973-122"/>
        <s v="FF MOLTO-NA-40383-118"/>
        <s v="FF ARCTIC-39811-146"/>
        <s v="FF MOLTO-NA-41256-128"/>
        <s v="FF ARCTIC-40506-126"/>
        <s v="FF LYRICP-40542-110"/>
        <s v="FF MESA-40241-126"/>
        <s v="FF TAFFETAHP-41026-134"/>
        <s v="FF TR665B-40478-130"/>
        <s v="FF LYRICRSS-40582-128"/>
        <s v="FF TR665B-40477-130"/>
        <s v="FF MOLTOX-NA-40771-124"/>
      </sharedItems>
    </cacheField>
    <cacheField name="Machine" numFmtId="0">
      <sharedItems/>
    </cacheField>
    <cacheField name="Dyelot" numFmtId="0">
      <sharedItems/>
    </cacheField>
    <cacheField name="Adaptive Qty" numFmtId="0">
      <sharedItems containsSemiMixedTypes="0" containsString="0" containsNumber="1" containsInteger="1" minValue="1398" maxValue="8620"/>
    </cacheField>
    <cacheField name="StartDate" numFmtId="22">
      <sharedItems containsSemiMixedTypes="0" containsNonDate="0" containsDate="1" containsString="0" minDate="2025-08-13T00:00:00" maxDate="2025-08-19T00:00:00" count="4">
        <d v="2025-08-13T00:00:00"/>
        <d v="2025-08-15T00:00:00"/>
        <d v="2025-08-18T00:00:00"/>
        <d v="2025-08-14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J-10"/>
    <s v="0030880600"/>
    <n v="8620"/>
    <x v="0"/>
  </r>
  <r>
    <x v="1"/>
    <s v="J-10"/>
    <s v="0030880800"/>
    <n v="8508"/>
    <x v="1"/>
  </r>
  <r>
    <x v="1"/>
    <s v="J-10"/>
    <s v="0030880900"/>
    <n v="8508"/>
    <x v="1"/>
  </r>
  <r>
    <x v="1"/>
    <s v="J-10"/>
    <s v="0030881000"/>
    <n v="8508"/>
    <x v="2"/>
  </r>
  <r>
    <x v="2"/>
    <s v="J-09"/>
    <s v="0030886500"/>
    <n v="8400"/>
    <x v="3"/>
  </r>
  <r>
    <x v="0"/>
    <s v="J-09"/>
    <s v="0030887200"/>
    <n v="8300"/>
    <x v="1"/>
  </r>
  <r>
    <x v="3"/>
    <s v="J-08"/>
    <s v="0030881800"/>
    <n v="8068"/>
    <x v="3"/>
  </r>
  <r>
    <x v="4"/>
    <s v="J-09"/>
    <s v="0030889300"/>
    <n v="7998"/>
    <x v="3"/>
  </r>
  <r>
    <x v="5"/>
    <s v="T-07"/>
    <s v="0030879100"/>
    <n v="7782"/>
    <x v="0"/>
  </r>
  <r>
    <x v="6"/>
    <s v="J-09"/>
    <s v="0030812900"/>
    <n v="7750"/>
    <x v="3"/>
  </r>
  <r>
    <x v="7"/>
    <s v="J-10"/>
    <s v="0030875700"/>
    <n v="7382"/>
    <x v="3"/>
  </r>
  <r>
    <x v="7"/>
    <s v="J-10"/>
    <s v="0030875800"/>
    <n v="7382"/>
    <x v="3"/>
  </r>
  <r>
    <x v="8"/>
    <s v="J-10"/>
    <s v="0030882100"/>
    <n v="6808"/>
    <x v="2"/>
  </r>
  <r>
    <x v="9"/>
    <s v="J-08"/>
    <s v="0030882900"/>
    <n v="6760"/>
    <x v="3"/>
  </r>
  <r>
    <x v="10"/>
    <s v="J-08"/>
    <s v="0030886900"/>
    <n v="5966"/>
    <x v="0"/>
  </r>
  <r>
    <x v="10"/>
    <s v="J-08"/>
    <s v="0030887000"/>
    <n v="5966"/>
    <x v="3"/>
  </r>
  <r>
    <x v="10"/>
    <s v="J-08"/>
    <s v="0030887100"/>
    <n v="5966"/>
    <x v="3"/>
  </r>
  <r>
    <x v="11"/>
    <s v="J-09"/>
    <s v="0030883300"/>
    <n v="5000"/>
    <x v="0"/>
  </r>
  <r>
    <x v="11"/>
    <s v="J-09"/>
    <s v="0030887300"/>
    <n v="4800"/>
    <x v="2"/>
  </r>
  <r>
    <x v="3"/>
    <s v="J-04"/>
    <s v="0030881900"/>
    <n v="4050"/>
    <x v="0"/>
  </r>
  <r>
    <x v="12"/>
    <s v="J-04"/>
    <s v="0030879200"/>
    <n v="3300"/>
    <x v="3"/>
  </r>
  <r>
    <x v="13"/>
    <s v="J-04"/>
    <s v="0030883200"/>
    <n v="2500"/>
    <x v="3"/>
  </r>
  <r>
    <x v="0"/>
    <s v="J-03"/>
    <s v="0030880700"/>
    <n v="2202"/>
    <x v="0"/>
  </r>
  <r>
    <x v="14"/>
    <s v="J-02"/>
    <s v="0030883100"/>
    <n v="2202"/>
    <x v="3"/>
  </r>
  <r>
    <x v="15"/>
    <s v="J-03"/>
    <s v="0030882300"/>
    <n v="2200"/>
    <x v="3"/>
  </r>
  <r>
    <x v="16"/>
    <s v="J-03"/>
    <s v="0030886400"/>
    <n v="2100"/>
    <x v="3"/>
  </r>
  <r>
    <x v="3"/>
    <s v="J-02"/>
    <s v="0030882000"/>
    <n v="2042"/>
    <x v="3"/>
  </r>
  <r>
    <x v="17"/>
    <s v="J-04"/>
    <s v="0030876100"/>
    <n v="1950"/>
    <x v="0"/>
  </r>
  <r>
    <x v="18"/>
    <s v="J-02"/>
    <s v="0030886300"/>
    <n v="1902"/>
    <x v="1"/>
  </r>
  <r>
    <x v="19"/>
    <s v="J-02"/>
    <s v="0030883000"/>
    <n v="1830"/>
    <x v="3"/>
  </r>
  <r>
    <x v="20"/>
    <s v="J-02"/>
    <s v="0030886200"/>
    <n v="1650"/>
    <x v="3"/>
  </r>
  <r>
    <x v="21"/>
    <s v="J-02"/>
    <s v="0030882800"/>
    <n v="1500"/>
    <x v="0"/>
  </r>
  <r>
    <x v="11"/>
    <s v="J-05"/>
    <s v="0030806300"/>
    <n v="139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3A05E-CA77-48D3-AF6D-9C249A24A7D3}" name="PivotTable14" cacheId="5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7" firstHeaderRow="1" firstDataRow="2" firstDataCol="1"/>
  <pivotFields count="5">
    <pivotField axis="axisRow" showAll="0">
      <items count="23">
        <item x="8"/>
        <item x="9"/>
        <item x="0"/>
        <item x="12"/>
        <item x="14"/>
        <item x="4"/>
        <item x="7"/>
        <item x="6"/>
        <item x="15"/>
        <item x="19"/>
        <item x="3"/>
        <item x="16"/>
        <item x="11"/>
        <item x="13"/>
        <item x="21"/>
        <item x="10"/>
        <item x="5"/>
        <item x="17"/>
        <item x="2"/>
        <item x="20"/>
        <item x="18"/>
        <item x="1"/>
        <item t="default"/>
      </items>
    </pivotField>
    <pivotField showAll="0"/>
    <pivotField showAll="0"/>
    <pivotField dataField="1" showAll="0"/>
    <pivotField axis="axisCol" numFmtId="22" showAll="0">
      <items count="5">
        <item x="0"/>
        <item x="3"/>
        <item x="1"/>
        <item x="2"/>
        <item t="default"/>
      </items>
    </pivotField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daptive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5"/>
  <sheetViews>
    <sheetView tabSelected="1" zoomScale="80" zoomScaleNormal="80" workbookViewId="0">
      <pane xSplit="12" ySplit="8" topLeftCell="M9" activePane="bottomRight" state="frozen"/>
      <selection pane="bottomRight" activeCell="AK9" sqref="AK9"/>
      <selection pane="bottomLeft" activeCell="A8" sqref="A8"/>
      <selection pane="topRight" activeCell="L1" sqref="L1"/>
    </sheetView>
  </sheetViews>
  <sheetFormatPr defaultRowHeight="15"/>
  <cols>
    <col min="1" max="1" width="14.140625" customWidth="1"/>
    <col min="2" max="2" width="7.5703125" bestFit="1" customWidth="1"/>
    <col min="3" max="3" width="28.5703125" bestFit="1" customWidth="1"/>
    <col min="4" max="4" width="30.42578125" customWidth="1"/>
    <col min="5" max="5" width="18.7109375" hidden="1" customWidth="1"/>
    <col min="6" max="6" width="20.28515625" hidden="1" customWidth="1"/>
    <col min="7" max="7" width="8.5703125" customWidth="1"/>
    <col min="8" max="8" width="12.5703125" bestFit="1" customWidth="1"/>
    <col min="9" max="12" width="8.5703125" hidden="1" customWidth="1"/>
    <col min="13" max="14" width="14.42578125" bestFit="1" customWidth="1"/>
    <col min="15" max="15" width="19.140625" bestFit="1" customWidth="1"/>
    <col min="16" max="16" width="14.42578125" bestFit="1" customWidth="1"/>
    <col min="17" max="20" width="10.5703125" hidden="1" customWidth="1"/>
    <col min="21" max="23" width="11.5703125" hidden="1" customWidth="1"/>
    <col min="24" max="24" width="10.5703125" hidden="1" customWidth="1"/>
    <col min="25" max="25" width="11.85546875" hidden="1" customWidth="1"/>
    <col min="26" max="26" width="11.85546875" customWidth="1"/>
    <col min="27" max="27" width="16.140625" customWidth="1"/>
    <col min="39" max="39" width="13.5703125" bestFit="1" customWidth="1"/>
    <col min="40" max="40" width="13.5703125" customWidth="1"/>
  </cols>
  <sheetData>
    <row r="1" spans="1:41">
      <c r="A1" s="21" t="s">
        <v>0</v>
      </c>
      <c r="Q1" s="5"/>
      <c r="R1" s="5"/>
      <c r="S1" s="5"/>
      <c r="T1" s="5"/>
      <c r="U1" s="5"/>
      <c r="V1" s="5"/>
      <c r="W1" s="5"/>
      <c r="X1" s="5"/>
      <c r="AD1" t="s">
        <v>1</v>
      </c>
      <c r="AE1" s="8">
        <f t="shared" ref="AE1:AL1" si="0">(AE3+AE5)/(AE4/5)</f>
        <v>2.5</v>
      </c>
      <c r="AF1" s="8">
        <f t="shared" si="0"/>
        <v>2.916666666666667</v>
      </c>
      <c r="AG1" s="8">
        <f t="shared" si="0"/>
        <v>2.5</v>
      </c>
      <c r="AH1" s="8">
        <f t="shared" si="0"/>
        <v>2.7272727272727271</v>
      </c>
      <c r="AI1" s="8">
        <f t="shared" si="0"/>
        <v>3.541666666666667</v>
      </c>
      <c r="AJ1" s="8">
        <f t="shared" si="0"/>
        <v>4.166666666666667</v>
      </c>
      <c r="AK1" s="8">
        <f t="shared" si="0"/>
        <v>9.0625</v>
      </c>
      <c r="AL1" s="8">
        <f t="shared" si="0"/>
        <v>4.0909090909090908</v>
      </c>
    </row>
    <row r="2" spans="1:41">
      <c r="A2" s="22" t="s">
        <v>2</v>
      </c>
      <c r="Q2" s="5"/>
      <c r="R2" s="5"/>
      <c r="S2" s="5"/>
      <c r="T2" s="5"/>
      <c r="U2" s="5"/>
      <c r="V2" s="5"/>
      <c r="W2" s="5"/>
      <c r="X2" s="5"/>
      <c r="AD2" t="s">
        <v>3</v>
      </c>
      <c r="AE2" s="9">
        <f t="shared" ref="AE2:AL2" si="1">AE3/(AE4/5)</f>
        <v>2.5</v>
      </c>
      <c r="AF2" s="9">
        <f t="shared" si="1"/>
        <v>2.916666666666667</v>
      </c>
      <c r="AG2" s="9">
        <f t="shared" si="1"/>
        <v>2</v>
      </c>
      <c r="AH2" s="9">
        <f t="shared" si="1"/>
        <v>1.8181818181818181</v>
      </c>
      <c r="AI2" s="9">
        <f t="shared" si="1"/>
        <v>0.625</v>
      </c>
      <c r="AJ2" s="9">
        <f t="shared" si="1"/>
        <v>2.916666666666667</v>
      </c>
      <c r="AK2" s="9">
        <f t="shared" si="1"/>
        <v>5.9375</v>
      </c>
      <c r="AL2" s="9">
        <f t="shared" si="1"/>
        <v>3.6363636363636362</v>
      </c>
    </row>
    <row r="3" spans="1:41">
      <c r="A3" s="23" t="s">
        <v>4</v>
      </c>
      <c r="Q3" s="5"/>
      <c r="R3" s="5"/>
      <c r="S3" s="5"/>
      <c r="T3" s="5"/>
      <c r="U3" s="5"/>
      <c r="V3" s="5"/>
      <c r="W3" s="5"/>
      <c r="X3" s="5"/>
      <c r="AA3" s="15" t="s">
        <v>5</v>
      </c>
      <c r="AD3" s="12" t="s">
        <v>6</v>
      </c>
      <c r="AE3" s="13">
        <v>6</v>
      </c>
      <c r="AF3" s="13">
        <v>7</v>
      </c>
      <c r="AG3" s="13">
        <v>4</v>
      </c>
      <c r="AH3" s="13">
        <v>4</v>
      </c>
      <c r="AI3" s="13">
        <v>1.5</v>
      </c>
      <c r="AJ3" s="13">
        <v>7</v>
      </c>
      <c r="AK3" s="13">
        <v>9.5</v>
      </c>
      <c r="AL3" s="14">
        <v>8</v>
      </c>
    </row>
    <row r="4" spans="1:41">
      <c r="A4" s="24" t="s">
        <v>7</v>
      </c>
      <c r="Q4" s="5"/>
      <c r="R4" s="5"/>
      <c r="S4" s="5"/>
      <c r="T4" s="5"/>
      <c r="U4" s="5"/>
      <c r="V4" s="5"/>
      <c r="W4" s="5"/>
      <c r="X4" s="5"/>
      <c r="AD4" t="s">
        <v>8</v>
      </c>
      <c r="AE4">
        <v>12</v>
      </c>
      <c r="AF4">
        <v>12</v>
      </c>
      <c r="AG4">
        <v>10</v>
      </c>
      <c r="AH4">
        <v>11</v>
      </c>
      <c r="AI4">
        <v>12</v>
      </c>
      <c r="AJ4">
        <v>12</v>
      </c>
      <c r="AK4">
        <v>8</v>
      </c>
      <c r="AL4">
        <v>11</v>
      </c>
    </row>
    <row r="5" spans="1:41" ht="45">
      <c r="A5" s="25" t="s">
        <v>9</v>
      </c>
      <c r="Q5" s="11"/>
      <c r="R5" s="11"/>
      <c r="S5" s="11"/>
      <c r="T5" s="11"/>
      <c r="U5" s="11"/>
      <c r="V5" s="11"/>
      <c r="W5" s="11"/>
      <c r="X5" s="11"/>
      <c r="AD5" t="s">
        <v>10</v>
      </c>
      <c r="AE5">
        <f t="shared" ref="AE5:AL5" si="2">SUM(AE9:AE104)</f>
        <v>0</v>
      </c>
      <c r="AF5">
        <f t="shared" si="2"/>
        <v>0</v>
      </c>
      <c r="AG5">
        <f t="shared" si="2"/>
        <v>1</v>
      </c>
      <c r="AH5">
        <f t="shared" si="2"/>
        <v>2</v>
      </c>
      <c r="AI5">
        <f t="shared" si="2"/>
        <v>7</v>
      </c>
      <c r="AJ5">
        <f t="shared" si="2"/>
        <v>3</v>
      </c>
      <c r="AK5">
        <f t="shared" si="2"/>
        <v>5</v>
      </c>
      <c r="AL5">
        <f t="shared" si="2"/>
        <v>1</v>
      </c>
    </row>
    <row r="6" spans="1:41">
      <c r="A6" s="10" t="s">
        <v>11</v>
      </c>
      <c r="Q6" s="5"/>
      <c r="R6" s="5"/>
      <c r="S6" s="5"/>
      <c r="T6" s="5"/>
      <c r="U6" s="5"/>
      <c r="V6" s="5"/>
      <c r="W6" s="5"/>
      <c r="X6" s="5"/>
      <c r="AD6" t="s">
        <v>12</v>
      </c>
      <c r="AE6">
        <v>1</v>
      </c>
      <c r="AF6">
        <v>1</v>
      </c>
      <c r="AG6">
        <v>1</v>
      </c>
      <c r="AH6">
        <v>2</v>
      </c>
      <c r="AI6">
        <v>3</v>
      </c>
      <c r="AJ6">
        <v>4</v>
      </c>
      <c r="AK6">
        <v>4</v>
      </c>
      <c r="AL6">
        <v>4</v>
      </c>
    </row>
    <row r="7" spans="1:41">
      <c r="A7" s="26" t="s">
        <v>13</v>
      </c>
      <c r="Q7" s="5"/>
      <c r="R7" s="5"/>
      <c r="S7" s="5"/>
      <c r="T7" s="5"/>
      <c r="U7" s="5"/>
      <c r="V7" s="5"/>
      <c r="W7" s="5"/>
      <c r="X7" s="5"/>
    </row>
    <row r="8" spans="1:41" ht="18.7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s="16" t="s">
        <v>26</v>
      </c>
      <c r="N8" s="17" t="s">
        <v>27</v>
      </c>
      <c r="O8" s="16" t="s">
        <v>28</v>
      </c>
      <c r="P8" s="18" t="s">
        <v>29</v>
      </c>
      <c r="Q8" s="28">
        <v>45882</v>
      </c>
      <c r="R8" s="28">
        <v>45883</v>
      </c>
      <c r="S8" s="28">
        <v>45884</v>
      </c>
      <c r="T8" s="28">
        <v>45887</v>
      </c>
      <c r="U8" s="28" t="s">
        <v>30</v>
      </c>
      <c r="V8" s="4">
        <v>45241</v>
      </c>
      <c r="W8" s="4">
        <v>45242</v>
      </c>
      <c r="X8" s="3" t="s">
        <v>31</v>
      </c>
      <c r="Y8" s="6" t="s">
        <v>32</v>
      </c>
      <c r="Z8" s="6" t="s">
        <v>33</v>
      </c>
      <c r="AA8" s="7" t="s">
        <v>34</v>
      </c>
      <c r="AB8" t="s">
        <v>35</v>
      </c>
      <c r="AC8" t="s">
        <v>36</v>
      </c>
      <c r="AD8" t="s">
        <v>37</v>
      </c>
      <c r="AE8" t="s">
        <v>38</v>
      </c>
      <c r="AF8" t="s">
        <v>39</v>
      </c>
      <c r="AG8" t="s">
        <v>40</v>
      </c>
      <c r="AH8" t="s">
        <v>41</v>
      </c>
      <c r="AI8" t="s">
        <v>42</v>
      </c>
      <c r="AJ8" t="s">
        <v>43</v>
      </c>
      <c r="AK8" t="s">
        <v>44</v>
      </c>
      <c r="AL8" t="s">
        <v>45</v>
      </c>
      <c r="AM8" t="s">
        <v>46</v>
      </c>
      <c r="AN8" t="s">
        <v>47</v>
      </c>
      <c r="AO8" t="s">
        <v>48</v>
      </c>
    </row>
    <row r="9" spans="1:41">
      <c r="A9" s="23">
        <v>50</v>
      </c>
      <c r="B9" s="23" t="s">
        <v>49</v>
      </c>
      <c r="C9" t="s">
        <v>50</v>
      </c>
      <c r="D9" t="s">
        <v>51</v>
      </c>
      <c r="E9" t="s">
        <v>52</v>
      </c>
      <c r="F9">
        <v>2.5904761904761902</v>
      </c>
      <c r="G9">
        <v>10834</v>
      </c>
      <c r="I9">
        <v>3710</v>
      </c>
      <c r="J9">
        <v>9646</v>
      </c>
      <c r="K9">
        <v>0</v>
      </c>
      <c r="L9">
        <v>9010</v>
      </c>
      <c r="M9">
        <v>0</v>
      </c>
      <c r="N9">
        <v>2522</v>
      </c>
      <c r="O9">
        <v>0</v>
      </c>
      <c r="P9">
        <v>9010</v>
      </c>
      <c r="Q9">
        <f>IFERROR(VLOOKUP($E9,Adaptive!$A:$J,MATCH(Q$8,Adaptive!$4:$4,0),FALSE),0)</f>
        <v>0</v>
      </c>
      <c r="R9">
        <f>IFERROR(VLOOKUP($E9,Adaptive!$A:$J,MATCH(R$8,Adaptive!$4:$4,0),FALSE),0)</f>
        <v>0</v>
      </c>
      <c r="S9">
        <f>IFERROR(VLOOKUP($E9,Adaptive!$A:$J,MATCH(S$8,Adaptive!$4:$4,0),FALSE),0)</f>
        <v>0</v>
      </c>
      <c r="T9">
        <f>IFERROR(VLOOKUP($E9,Adaptive!$A:$J,MATCH(T$8,Adaptive!$4:$4,0),FALSE),0)</f>
        <v>0</v>
      </c>
      <c r="U9">
        <f>IFERROR(VLOOKUP($E9,Adaptive!$A:$J,MATCH(U$8,Adaptive!$4:$4,0),FALSE),0)</f>
        <v>0</v>
      </c>
      <c r="V9">
        <f>IFERROR(VLOOKUP($E9,Adaptive!$A:$J,MATCH(V$8,Adaptive!$4:$4,0),FALSE),0)</f>
        <v>0</v>
      </c>
      <c r="W9">
        <f>IFERROR(VLOOKUP($E9,Adaptive!$A:$J,MATCH(W$8,Adaptive!$4:$4,0),FALSE),0)</f>
        <v>0</v>
      </c>
      <c r="X9">
        <f>IFERROR(VLOOKUP($E9,Adaptive!$A:$J,MATCH(X$8,Adaptive!$4:$4,0),FALSE),0)</f>
        <v>0</v>
      </c>
      <c r="Y9" s="6">
        <f t="shared" ref="Y9:Y40" si="3">F9*700</f>
        <v>1813.333333333333</v>
      </c>
      <c r="Z9" s="6" t="str">
        <f>_xlfn.XLOOKUP(B9,[1]Xref!$H:$H,[1]Xref!$A:$A)</f>
        <v>AU2958G</v>
      </c>
      <c r="AA9" s="6">
        <f t="shared" ref="AA9:AA39" si="4">SUM(M9:P9)</f>
        <v>11532</v>
      </c>
      <c r="AB9" s="10">
        <f t="shared" ref="AB9:AB39" si="5">ROUNDUP(AA9/Y9,0)</f>
        <v>7</v>
      </c>
      <c r="AC9">
        <f t="shared" ref="AC9:AC39" si="6">AB9-SUMPRODUCT(AE9:AL9,$AE$6:$AL$6)</f>
        <v>3</v>
      </c>
      <c r="AK9">
        <v>1</v>
      </c>
      <c r="AM9">
        <f t="shared" ref="AM9:AM72" si="7">SUMPRODUCT(AE9:AL9,$AE$6:$AL$6)*700</f>
        <v>2800</v>
      </c>
      <c r="AN9">
        <f t="shared" ref="AN9:AN72" si="8">AC9*700</f>
        <v>2100</v>
      </c>
    </row>
    <row r="10" spans="1:41">
      <c r="A10" s="10">
        <v>50</v>
      </c>
      <c r="B10" s="10" t="s">
        <v>53</v>
      </c>
      <c r="C10" t="s">
        <v>54</v>
      </c>
      <c r="D10" t="s">
        <v>55</v>
      </c>
      <c r="E10" t="s">
        <v>56</v>
      </c>
      <c r="F10" s="19" t="s">
        <v>57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IFERROR(VLOOKUP($E10,Adaptive!$A:$J,MATCH(Q$8,Adaptive!$4:$4,0),FALSE),0)</f>
        <v>0</v>
      </c>
      <c r="R10">
        <f>IFERROR(VLOOKUP($E10,Adaptive!$A:$J,MATCH(R$8,Adaptive!$4:$4,0),FALSE),0)</f>
        <v>0</v>
      </c>
      <c r="S10">
        <f>IFERROR(VLOOKUP($E10,Adaptive!$A:$J,MATCH(S$8,Adaptive!$4:$4,0),FALSE),0)</f>
        <v>0</v>
      </c>
      <c r="T10">
        <f>IFERROR(VLOOKUP($E10,Adaptive!$A:$J,MATCH(T$8,Adaptive!$4:$4,0),FALSE),0)</f>
        <v>0</v>
      </c>
      <c r="U10">
        <f>IFERROR(VLOOKUP($E10,Adaptive!$A:$J,MATCH(U$8,Adaptive!$4:$4,0),FALSE),0)</f>
        <v>0</v>
      </c>
      <c r="V10">
        <f>IFERROR(VLOOKUP($E10,Adaptive!$A:$J,MATCH(V$8,Adaptive!$4:$4,0),FALSE),0)</f>
        <v>0</v>
      </c>
      <c r="W10">
        <f>IFERROR(VLOOKUP($E10,Adaptive!$A:$J,MATCH(W$8,Adaptive!$4:$4,0),FALSE),0)</f>
        <v>0</v>
      </c>
      <c r="X10">
        <f>IFERROR(VLOOKUP($E10,Adaptive!$A:$J,MATCH(X$8,Adaptive!$4:$4,0),FALSE),0)</f>
        <v>0</v>
      </c>
      <c r="Y10" s="6">
        <f t="shared" si="3"/>
        <v>1511.1111111111052</v>
      </c>
      <c r="Z10" s="6" t="str">
        <f>_xlfn.XLOOKUP(B10,[1]Xref!$H:$H,[1]Xref!$A:$A)</f>
        <v>AU4583 210</v>
      </c>
      <c r="AA10" s="6">
        <f t="shared" si="4"/>
        <v>0</v>
      </c>
      <c r="AB10" s="10">
        <f t="shared" si="5"/>
        <v>0</v>
      </c>
      <c r="AC10">
        <f t="shared" si="6"/>
        <v>0</v>
      </c>
      <c r="AM10">
        <f t="shared" si="7"/>
        <v>0</v>
      </c>
      <c r="AN10">
        <f t="shared" si="8"/>
        <v>0</v>
      </c>
    </row>
    <row r="11" spans="1:41">
      <c r="A11">
        <v>50</v>
      </c>
      <c r="B11">
        <v>222127</v>
      </c>
      <c r="C11" t="s">
        <v>58</v>
      </c>
      <c r="D11" t="s">
        <v>59</v>
      </c>
      <c r="E11" t="s">
        <v>60</v>
      </c>
      <c r="F11" s="19" t="s">
        <v>61</v>
      </c>
      <c r="I11">
        <v>429</v>
      </c>
      <c r="J11">
        <v>0</v>
      </c>
      <c r="K11">
        <v>0</v>
      </c>
      <c r="L11">
        <v>1717</v>
      </c>
      <c r="M11">
        <v>429</v>
      </c>
      <c r="N11">
        <v>0</v>
      </c>
      <c r="O11">
        <v>0</v>
      </c>
      <c r="P11">
        <v>1717</v>
      </c>
      <c r="Q11">
        <f>IFERROR(VLOOKUP($E11,Adaptive!$A:$J,MATCH(Q$8,Adaptive!$4:$4,0),FALSE),0)</f>
        <v>0</v>
      </c>
      <c r="R11">
        <f>IFERROR(VLOOKUP($E11,Adaptive!$A:$J,MATCH(R$8,Adaptive!$4:$4,0),FALSE),0)</f>
        <v>0</v>
      </c>
      <c r="S11">
        <f>IFERROR(VLOOKUP($E11,Adaptive!$A:$J,MATCH(S$8,Adaptive!$4:$4,0),FALSE),0)</f>
        <v>0</v>
      </c>
      <c r="T11">
        <f>IFERROR(VLOOKUP($E11,Adaptive!$A:$J,MATCH(T$8,Adaptive!$4:$4,0),FALSE),0)</f>
        <v>0</v>
      </c>
      <c r="U11">
        <f>IFERROR(VLOOKUP($E11,Adaptive!$A:$J,MATCH(U$8,Adaptive!$4:$4,0),FALSE),0)</f>
        <v>0</v>
      </c>
      <c r="V11">
        <f>IFERROR(VLOOKUP($E11,Adaptive!$A:$J,MATCH(V$8,Adaptive!$4:$4,0),FALSE),0)</f>
        <v>0</v>
      </c>
      <c r="W11">
        <f>IFERROR(VLOOKUP($E11,Adaptive!$A:$J,MATCH(W$8,Adaptive!$4:$4,0),FALSE),0)</f>
        <v>0</v>
      </c>
      <c r="X11">
        <f>IFERROR(VLOOKUP($E11,Adaptive!$A:$J,MATCH(X$8,Adaptive!$4:$4,0),FALSE),0)</f>
        <v>0</v>
      </c>
      <c r="Y11" s="6">
        <f t="shared" si="3"/>
        <v>1586.666666666662</v>
      </c>
      <c r="Z11" s="6" t="str">
        <f>_xlfn.XLOOKUP(B11,[1]Xref!$H:$H,[1]Xref!$A:$A)</f>
        <v>AU4583 210</v>
      </c>
      <c r="AA11" s="6">
        <f t="shared" si="4"/>
        <v>2146</v>
      </c>
      <c r="AB11" s="10">
        <f t="shared" si="5"/>
        <v>2</v>
      </c>
      <c r="AC11">
        <f t="shared" si="6"/>
        <v>2</v>
      </c>
      <c r="AM11">
        <f t="shared" si="7"/>
        <v>0</v>
      </c>
      <c r="AN11">
        <f t="shared" si="8"/>
        <v>1400</v>
      </c>
    </row>
    <row r="12" spans="1:41">
      <c r="A12">
        <v>50</v>
      </c>
      <c r="B12">
        <v>223566</v>
      </c>
      <c r="C12" t="s">
        <v>62</v>
      </c>
      <c r="D12" t="s">
        <v>63</v>
      </c>
      <c r="E12" t="s">
        <v>64</v>
      </c>
      <c r="F12" s="19" t="s">
        <v>65</v>
      </c>
      <c r="G12">
        <v>6756</v>
      </c>
      <c r="I12">
        <v>22447</v>
      </c>
      <c r="J12">
        <v>2683</v>
      </c>
      <c r="K12">
        <v>23637</v>
      </c>
      <c r="L12">
        <v>0</v>
      </c>
      <c r="M12">
        <v>15691</v>
      </c>
      <c r="N12">
        <v>2683</v>
      </c>
      <c r="O12">
        <v>23637</v>
      </c>
      <c r="P12">
        <v>0</v>
      </c>
      <c r="Q12">
        <f>IFERROR(VLOOKUP($E12,Adaptive!$A:$J,MATCH(Q$8,Adaptive!$4:$4,0),FALSE),0)</f>
        <v>0</v>
      </c>
      <c r="R12">
        <f>IFERROR(VLOOKUP($E12,Adaptive!$A:$J,MATCH(R$8,Adaptive!$4:$4,0),FALSE),0)</f>
        <v>0</v>
      </c>
      <c r="S12">
        <f>IFERROR(VLOOKUP($E12,Adaptive!$A:$J,MATCH(S$8,Adaptive!$4:$4,0),FALSE),0)</f>
        <v>0</v>
      </c>
      <c r="T12">
        <f>IFERROR(VLOOKUP($E12,Adaptive!$A:$J,MATCH(T$8,Adaptive!$4:$4,0),FALSE),0)</f>
        <v>0</v>
      </c>
      <c r="U12">
        <f>IFERROR(VLOOKUP($E12,Adaptive!$A:$J,MATCH(U$8,Adaptive!$4:$4,0),FALSE),0)</f>
        <v>0</v>
      </c>
      <c r="V12">
        <f>IFERROR(VLOOKUP($E12,Adaptive!$A:$J,MATCH(V$8,Adaptive!$4:$4,0),FALSE),0)</f>
        <v>0</v>
      </c>
      <c r="W12">
        <f>IFERROR(VLOOKUP($E12,Adaptive!$A:$J,MATCH(W$8,Adaptive!$4:$4,0),FALSE),0)</f>
        <v>0</v>
      </c>
      <c r="X12">
        <f>IFERROR(VLOOKUP($E12,Adaptive!$A:$J,MATCH(X$8,Adaptive!$4:$4,0),FALSE),0)</f>
        <v>0</v>
      </c>
      <c r="Y12" s="6">
        <f t="shared" si="3"/>
        <v>1842.5806451612841</v>
      </c>
      <c r="Z12" s="6" t="str">
        <f>_xlfn.XLOOKUP(B12,[1]Xref!$H:$H,[1]Xref!$A:$A)</f>
        <v>AU3426 Wide</v>
      </c>
      <c r="AA12" s="6">
        <f t="shared" si="4"/>
        <v>42011</v>
      </c>
      <c r="AB12" s="10">
        <f t="shared" si="5"/>
        <v>23</v>
      </c>
      <c r="AC12">
        <f t="shared" si="6"/>
        <v>23</v>
      </c>
      <c r="AM12">
        <f t="shared" si="7"/>
        <v>0</v>
      </c>
      <c r="AN12">
        <f t="shared" si="8"/>
        <v>16100</v>
      </c>
    </row>
    <row r="13" spans="1:41">
      <c r="A13" s="10">
        <v>50</v>
      </c>
      <c r="B13" s="10">
        <v>225786</v>
      </c>
      <c r="C13" t="s">
        <v>66</v>
      </c>
      <c r="D13" t="s">
        <v>67</v>
      </c>
      <c r="E13" t="s">
        <v>68</v>
      </c>
      <c r="F13" s="19" t="s">
        <v>69</v>
      </c>
      <c r="I13">
        <v>0</v>
      </c>
      <c r="J13">
        <v>200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f>IFERROR(VLOOKUP($E13,Adaptive!$A:$J,MATCH(Q$8,Adaptive!$4:$4,0),FALSE),0)</f>
        <v>0</v>
      </c>
      <c r="R13">
        <f>IFERROR(VLOOKUP($E13,Adaptive!$A:$J,MATCH(R$8,Adaptive!$4:$4,0),FALSE),0)</f>
        <v>0</v>
      </c>
      <c r="S13">
        <f>IFERROR(VLOOKUP($E13,Adaptive!$A:$J,MATCH(S$8,Adaptive!$4:$4,0),FALSE),0)</f>
        <v>0</v>
      </c>
      <c r="T13">
        <f>IFERROR(VLOOKUP($E13,Adaptive!$A:$J,MATCH(T$8,Adaptive!$4:$4,0),FALSE),0)</f>
        <v>0</v>
      </c>
      <c r="U13">
        <f>IFERROR(VLOOKUP($E13,Adaptive!$A:$J,MATCH(U$8,Adaptive!$4:$4,0),FALSE),0)</f>
        <v>0</v>
      </c>
      <c r="V13">
        <f>IFERROR(VLOOKUP($E13,Adaptive!$A:$J,MATCH(V$8,Adaptive!$4:$4,0),FALSE),0)</f>
        <v>0</v>
      </c>
      <c r="W13">
        <f>IFERROR(VLOOKUP($E13,Adaptive!$A:$J,MATCH(W$8,Adaptive!$4:$4,0),FALSE),0)</f>
        <v>0</v>
      </c>
      <c r="X13">
        <f>IFERROR(VLOOKUP($E13,Adaptive!$A:$J,MATCH(X$8,Adaptive!$4:$4,0),FALSE),0)</f>
        <v>0</v>
      </c>
      <c r="Y13" s="6">
        <f t="shared" si="3"/>
        <v>1564.931506849312</v>
      </c>
      <c r="Z13" s="6" t="str">
        <f>_xlfn.XLOOKUP(B13,[1]Xref!$H:$H,[1]Xref!$A:$A)</f>
        <v>AU3426</v>
      </c>
      <c r="AA13" s="6">
        <f t="shared" si="4"/>
        <v>0</v>
      </c>
      <c r="AB13" s="10">
        <f t="shared" si="5"/>
        <v>0</v>
      </c>
      <c r="AC13">
        <f t="shared" si="6"/>
        <v>0</v>
      </c>
      <c r="AM13">
        <f t="shared" si="7"/>
        <v>0</v>
      </c>
      <c r="AN13">
        <f t="shared" si="8"/>
        <v>0</v>
      </c>
    </row>
    <row r="14" spans="1:41">
      <c r="A14" s="10">
        <v>50</v>
      </c>
      <c r="B14" s="10">
        <v>226042</v>
      </c>
      <c r="C14" t="s">
        <v>70</v>
      </c>
      <c r="D14" t="s">
        <v>71</v>
      </c>
      <c r="E14" t="s">
        <v>72</v>
      </c>
      <c r="F14" s="19" t="s">
        <v>73</v>
      </c>
      <c r="G14">
        <v>250</v>
      </c>
      <c r="I14">
        <v>0</v>
      </c>
      <c r="J14">
        <v>0</v>
      </c>
      <c r="K14">
        <v>0</v>
      </c>
      <c r="L14">
        <v>212</v>
      </c>
      <c r="M14">
        <v>0</v>
      </c>
      <c r="N14">
        <v>0</v>
      </c>
      <c r="O14">
        <v>0</v>
      </c>
      <c r="P14">
        <v>0</v>
      </c>
      <c r="Q14">
        <f>IFERROR(VLOOKUP($E14,Adaptive!$A:$J,MATCH(Q$8,Adaptive!$4:$4,0),FALSE),0)</f>
        <v>0</v>
      </c>
      <c r="R14">
        <f>IFERROR(VLOOKUP($E14,Adaptive!$A:$J,MATCH(R$8,Adaptive!$4:$4,0),FALSE),0)</f>
        <v>0</v>
      </c>
      <c r="S14">
        <f>IFERROR(VLOOKUP($E14,Adaptive!$A:$J,MATCH(S$8,Adaptive!$4:$4,0),FALSE),0)</f>
        <v>0</v>
      </c>
      <c r="T14">
        <f>IFERROR(VLOOKUP($E14,Adaptive!$A:$J,MATCH(T$8,Adaptive!$4:$4,0),FALSE),0)</f>
        <v>0</v>
      </c>
      <c r="U14">
        <f>IFERROR(VLOOKUP($E14,Adaptive!$A:$J,MATCH(U$8,Adaptive!$4:$4,0),FALSE),0)</f>
        <v>0</v>
      </c>
      <c r="V14">
        <f>IFERROR(VLOOKUP($E14,Adaptive!$A:$J,MATCH(V$8,Adaptive!$4:$4,0),FALSE),0)</f>
        <v>0</v>
      </c>
      <c r="W14">
        <f>IFERROR(VLOOKUP($E14,Adaptive!$A:$J,MATCH(W$8,Adaptive!$4:$4,0),FALSE),0)</f>
        <v>0</v>
      </c>
      <c r="X14">
        <f>IFERROR(VLOOKUP($E14,Adaptive!$A:$J,MATCH(X$8,Adaptive!$4:$4,0),FALSE),0)</f>
        <v>0</v>
      </c>
      <c r="Y14" s="6">
        <f t="shared" si="3"/>
        <v>1464.6153846153832</v>
      </c>
      <c r="Z14" s="6" t="str">
        <f>_xlfn.XLOOKUP(B14,[1]Xref!$H:$H,[1]Xref!$A:$A)</f>
        <v>AU4583</v>
      </c>
      <c r="AA14" s="6">
        <f t="shared" si="4"/>
        <v>0</v>
      </c>
      <c r="AB14" s="10">
        <f t="shared" si="5"/>
        <v>0</v>
      </c>
      <c r="AC14">
        <f t="shared" si="6"/>
        <v>0</v>
      </c>
      <c r="AM14">
        <f t="shared" si="7"/>
        <v>0</v>
      </c>
      <c r="AN14">
        <f t="shared" si="8"/>
        <v>0</v>
      </c>
    </row>
    <row r="15" spans="1:41">
      <c r="A15" s="10">
        <v>12</v>
      </c>
      <c r="B15" s="10" t="s">
        <v>74</v>
      </c>
      <c r="C15" t="s">
        <v>75</v>
      </c>
      <c r="D15" t="s">
        <v>76</v>
      </c>
      <c r="E15" t="s">
        <v>77</v>
      </c>
      <c r="F15" s="19" t="s">
        <v>78</v>
      </c>
      <c r="G15">
        <v>233</v>
      </c>
      <c r="I15">
        <v>47</v>
      </c>
      <c r="M15">
        <v>0</v>
      </c>
      <c r="N15">
        <v>0</v>
      </c>
      <c r="O15">
        <v>0</v>
      </c>
      <c r="P15">
        <v>0</v>
      </c>
      <c r="Q15">
        <f>IFERROR(VLOOKUP($E15,Adaptive!$A:$J,MATCH(Q$8,Adaptive!$4:$4,0),FALSE),0)</f>
        <v>0</v>
      </c>
      <c r="R15">
        <f>IFERROR(VLOOKUP($E15,Adaptive!$A:$J,MATCH(R$8,Adaptive!$4:$4,0),FALSE),0)</f>
        <v>0</v>
      </c>
      <c r="S15">
        <f>IFERROR(VLOOKUP($E15,Adaptive!$A:$J,MATCH(S$8,Adaptive!$4:$4,0),FALSE),0)</f>
        <v>0</v>
      </c>
      <c r="T15">
        <f>IFERROR(VLOOKUP($E15,Adaptive!$A:$J,MATCH(T$8,Adaptive!$4:$4,0),FALSE),0)</f>
        <v>0</v>
      </c>
      <c r="U15">
        <f>IFERROR(VLOOKUP($E15,Adaptive!$A:$J,MATCH(U$8,Adaptive!$4:$4,0),FALSE),0)</f>
        <v>0</v>
      </c>
      <c r="V15">
        <f>IFERROR(VLOOKUP($E15,Adaptive!$A:$J,MATCH(V$8,Adaptive!$4:$4,0),FALSE),0)</f>
        <v>0</v>
      </c>
      <c r="W15">
        <f>IFERROR(VLOOKUP($E15,Adaptive!$A:$J,MATCH(W$8,Adaptive!$4:$4,0),FALSE),0)</f>
        <v>0</v>
      </c>
      <c r="X15">
        <f>IFERROR(VLOOKUP($E15,Adaptive!$A:$J,MATCH(X$8,Adaptive!$4:$4,0),FALSE),0)</f>
        <v>0</v>
      </c>
      <c r="Y15" s="6">
        <f t="shared" si="3"/>
        <v>1298.1818181818151</v>
      </c>
      <c r="Z15" s="6" t="str">
        <f>_xlfn.XLOOKUP(B15,[1]Xref!$H:$H,[1]Xref!$A:$A)</f>
        <v>AU7529</v>
      </c>
      <c r="AA15" s="6">
        <f t="shared" si="4"/>
        <v>0</v>
      </c>
      <c r="AB15" s="10">
        <f t="shared" si="5"/>
        <v>0</v>
      </c>
      <c r="AC15">
        <f t="shared" si="6"/>
        <v>0</v>
      </c>
      <c r="AM15">
        <f t="shared" si="7"/>
        <v>0</v>
      </c>
      <c r="AN15">
        <f t="shared" si="8"/>
        <v>0</v>
      </c>
    </row>
    <row r="16" spans="1:41">
      <c r="A16" s="10">
        <v>1250</v>
      </c>
      <c r="B16" s="10">
        <v>227469</v>
      </c>
      <c r="C16" t="s">
        <v>79</v>
      </c>
      <c r="D16" t="s">
        <v>80</v>
      </c>
      <c r="E16" t="s">
        <v>81</v>
      </c>
      <c r="F16">
        <v>2.5499999999999998</v>
      </c>
      <c r="G16">
        <v>4181</v>
      </c>
      <c r="H16">
        <v>7998</v>
      </c>
      <c r="I16">
        <v>6197</v>
      </c>
      <c r="J16">
        <v>1101</v>
      </c>
      <c r="K16">
        <v>4158</v>
      </c>
      <c r="L16">
        <v>0</v>
      </c>
      <c r="M16">
        <v>0</v>
      </c>
      <c r="N16">
        <v>0</v>
      </c>
      <c r="O16">
        <v>0</v>
      </c>
      <c r="P16">
        <v>0</v>
      </c>
      <c r="Q16">
        <f>IFERROR(VLOOKUP($E16,Adaptive!$A:$J,MATCH(Q$8,Adaptive!$4:$4,0),FALSE),0)</f>
        <v>0</v>
      </c>
      <c r="R16">
        <f>IFERROR(VLOOKUP($E16,Adaptive!$A:$J,MATCH(R$8,Adaptive!$4:$4,0),FALSE),0)</f>
        <v>7998</v>
      </c>
      <c r="S16">
        <f>IFERROR(VLOOKUP($E16,Adaptive!$A:$J,MATCH(S$8,Adaptive!$4:$4,0),FALSE),0)</f>
        <v>0</v>
      </c>
      <c r="T16">
        <f>IFERROR(VLOOKUP($E16,Adaptive!$A:$J,MATCH(T$8,Adaptive!$4:$4,0),FALSE),0)</f>
        <v>0</v>
      </c>
      <c r="U16">
        <f>IFERROR(VLOOKUP($E16,Adaptive!$A:$J,MATCH(U$8,Adaptive!$4:$4,0),FALSE),0)</f>
        <v>7998</v>
      </c>
      <c r="V16">
        <f>IFERROR(VLOOKUP($E16,Adaptive!$A:$J,MATCH(V$8,Adaptive!$4:$4,0),FALSE),0)</f>
        <v>0</v>
      </c>
      <c r="W16">
        <f>IFERROR(VLOOKUP($E16,Adaptive!$A:$J,MATCH(W$8,Adaptive!$4:$4,0),FALSE),0)</f>
        <v>0</v>
      </c>
      <c r="X16">
        <f>IFERROR(VLOOKUP($E16,Adaptive!$A:$J,MATCH(X$8,Adaptive!$4:$4,0),FALSE),0)</f>
        <v>0</v>
      </c>
      <c r="Y16" s="6">
        <f t="shared" si="3"/>
        <v>1784.9999999999998</v>
      </c>
      <c r="Z16" s="6" t="str">
        <f>_xlfn.XLOOKUP(B16,[1]Xref!$H:$H,[1]Xref!$A:$A)</f>
        <v>AU3426 Wide</v>
      </c>
      <c r="AA16" s="6">
        <f t="shared" si="4"/>
        <v>0</v>
      </c>
      <c r="AB16" s="10">
        <f t="shared" si="5"/>
        <v>0</v>
      </c>
      <c r="AC16">
        <f t="shared" si="6"/>
        <v>0</v>
      </c>
      <c r="AM16">
        <f t="shared" si="7"/>
        <v>0</v>
      </c>
      <c r="AN16">
        <f t="shared" si="8"/>
        <v>0</v>
      </c>
    </row>
    <row r="17" spans="1:40">
      <c r="A17">
        <v>50</v>
      </c>
      <c r="B17">
        <v>228149</v>
      </c>
      <c r="C17" t="s">
        <v>82</v>
      </c>
      <c r="D17" t="s">
        <v>83</v>
      </c>
      <c r="E17" t="s">
        <v>84</v>
      </c>
      <c r="F17" s="19" t="s">
        <v>85</v>
      </c>
      <c r="G17">
        <v>1400</v>
      </c>
      <c r="I17">
        <v>5940</v>
      </c>
      <c r="J17">
        <v>1484</v>
      </c>
      <c r="K17">
        <v>0</v>
      </c>
      <c r="L17">
        <v>0</v>
      </c>
      <c r="M17">
        <v>4540</v>
      </c>
      <c r="N17">
        <v>1484</v>
      </c>
      <c r="O17">
        <v>0</v>
      </c>
      <c r="P17">
        <v>0</v>
      </c>
      <c r="Q17">
        <f>IFERROR(VLOOKUP($E17,Adaptive!$A:$J,MATCH(Q$8,Adaptive!$4:$4,0),FALSE),0)</f>
        <v>0</v>
      </c>
      <c r="R17">
        <f>IFERROR(VLOOKUP($E17,Adaptive!$A:$J,MATCH(R$8,Adaptive!$4:$4,0),FALSE),0)</f>
        <v>0</v>
      </c>
      <c r="S17">
        <f>IFERROR(VLOOKUP($E17,Adaptive!$A:$J,MATCH(S$8,Adaptive!$4:$4,0),FALSE),0)</f>
        <v>0</v>
      </c>
      <c r="T17">
        <f>IFERROR(VLOOKUP($E17,Adaptive!$A:$J,MATCH(T$8,Adaptive!$4:$4,0),FALSE),0)</f>
        <v>0</v>
      </c>
      <c r="U17">
        <f>IFERROR(VLOOKUP($E17,Adaptive!$A:$J,MATCH(U$8,Adaptive!$4:$4,0),FALSE),0)</f>
        <v>0</v>
      </c>
      <c r="V17">
        <f>IFERROR(VLOOKUP($E17,Adaptive!$A:$J,MATCH(V$8,Adaptive!$4:$4,0),FALSE),0)</f>
        <v>0</v>
      </c>
      <c r="W17">
        <f>IFERROR(VLOOKUP($E17,Adaptive!$A:$J,MATCH(W$8,Adaptive!$4:$4,0),FALSE),0)</f>
        <v>0</v>
      </c>
      <c r="X17">
        <f>IFERROR(VLOOKUP($E17,Adaptive!$A:$J,MATCH(X$8,Adaptive!$4:$4,0),FALSE),0)</f>
        <v>0</v>
      </c>
      <c r="Y17" s="6">
        <f t="shared" si="3"/>
        <v>1381.935483870963</v>
      </c>
      <c r="Z17" s="6" t="str">
        <f>_xlfn.XLOOKUP(B17,[1]Xref!$H:$H,[1]Xref!$A:$A)</f>
        <v>AU4398</v>
      </c>
      <c r="AA17" s="6">
        <f t="shared" si="4"/>
        <v>6024</v>
      </c>
      <c r="AB17" s="10">
        <f t="shared" si="5"/>
        <v>5</v>
      </c>
      <c r="AC17">
        <f t="shared" si="6"/>
        <v>5</v>
      </c>
      <c r="AM17">
        <f t="shared" si="7"/>
        <v>0</v>
      </c>
      <c r="AN17">
        <f t="shared" si="8"/>
        <v>3500</v>
      </c>
    </row>
    <row r="18" spans="1:40">
      <c r="A18" s="10">
        <v>50</v>
      </c>
      <c r="B18" s="10">
        <v>228150</v>
      </c>
      <c r="C18" t="s">
        <v>86</v>
      </c>
      <c r="D18" t="s">
        <v>87</v>
      </c>
      <c r="E18" t="s">
        <v>88</v>
      </c>
      <c r="F18" s="19" t="s">
        <v>85</v>
      </c>
      <c r="I18">
        <v>0</v>
      </c>
      <c r="J18">
        <v>0</v>
      </c>
      <c r="K18">
        <v>0</v>
      </c>
      <c r="L18">
        <v>72</v>
      </c>
      <c r="M18">
        <v>0</v>
      </c>
      <c r="N18">
        <v>0</v>
      </c>
      <c r="O18">
        <v>0</v>
      </c>
      <c r="P18">
        <v>0</v>
      </c>
      <c r="Q18">
        <f>IFERROR(VLOOKUP($E18,Adaptive!$A:$J,MATCH(Q$8,Adaptive!$4:$4,0),FALSE),0)</f>
        <v>0</v>
      </c>
      <c r="R18">
        <f>IFERROR(VLOOKUP($E18,Adaptive!$A:$J,MATCH(R$8,Adaptive!$4:$4,0),FALSE),0)</f>
        <v>0</v>
      </c>
      <c r="S18">
        <f>IFERROR(VLOOKUP($E18,Adaptive!$A:$J,MATCH(S$8,Adaptive!$4:$4,0),FALSE),0)</f>
        <v>0</v>
      </c>
      <c r="T18">
        <f>IFERROR(VLOOKUP($E18,Adaptive!$A:$J,MATCH(T$8,Adaptive!$4:$4,0),FALSE),0)</f>
        <v>0</v>
      </c>
      <c r="U18">
        <f>IFERROR(VLOOKUP($E18,Adaptive!$A:$J,MATCH(U$8,Adaptive!$4:$4,0),FALSE),0)</f>
        <v>0</v>
      </c>
      <c r="V18">
        <f>IFERROR(VLOOKUP($E18,Adaptive!$A:$J,MATCH(V$8,Adaptive!$4:$4,0),FALSE),0)</f>
        <v>0</v>
      </c>
      <c r="W18">
        <f>IFERROR(VLOOKUP($E18,Adaptive!$A:$J,MATCH(W$8,Adaptive!$4:$4,0),FALSE),0)</f>
        <v>0</v>
      </c>
      <c r="X18">
        <f>IFERROR(VLOOKUP($E18,Adaptive!$A:$J,MATCH(X$8,Adaptive!$4:$4,0),FALSE),0)</f>
        <v>0</v>
      </c>
      <c r="Y18" s="6">
        <f t="shared" si="3"/>
        <v>1381.935483870963</v>
      </c>
      <c r="Z18" s="6" t="str">
        <f>_xlfn.XLOOKUP(B18,[1]Xref!$H:$H,[1]Xref!$A:$A)</f>
        <v>AU4398</v>
      </c>
      <c r="AA18" s="6">
        <v>0</v>
      </c>
      <c r="AB18" s="10">
        <f t="shared" si="5"/>
        <v>0</v>
      </c>
      <c r="AC18">
        <f t="shared" si="6"/>
        <v>0</v>
      </c>
      <c r="AM18">
        <f t="shared" si="7"/>
        <v>0</v>
      </c>
      <c r="AN18">
        <f t="shared" si="8"/>
        <v>0</v>
      </c>
    </row>
    <row r="19" spans="1:40">
      <c r="A19">
        <v>50</v>
      </c>
      <c r="B19">
        <v>228269</v>
      </c>
      <c r="C19" t="s">
        <v>89</v>
      </c>
      <c r="D19" t="s">
        <v>90</v>
      </c>
      <c r="E19" t="s">
        <v>91</v>
      </c>
      <c r="F19" s="19" t="s">
        <v>92</v>
      </c>
      <c r="G19">
        <v>1037</v>
      </c>
      <c r="H19">
        <v>7782</v>
      </c>
      <c r="I19">
        <v>5149</v>
      </c>
      <c r="J19">
        <v>0</v>
      </c>
      <c r="K19">
        <v>3465</v>
      </c>
      <c r="L19">
        <v>4095</v>
      </c>
      <c r="M19">
        <v>0</v>
      </c>
      <c r="N19">
        <v>0</v>
      </c>
      <c r="O19">
        <v>0</v>
      </c>
      <c r="P19">
        <v>3890</v>
      </c>
      <c r="Q19">
        <f>IFERROR(VLOOKUP($E19,Adaptive!$A:$J,MATCH(Q$8,Adaptive!$4:$4,0),FALSE),0)</f>
        <v>7782</v>
      </c>
      <c r="R19">
        <f>IFERROR(VLOOKUP($E19,Adaptive!$A:$J,MATCH(R$8,Adaptive!$4:$4,0),FALSE),0)</f>
        <v>0</v>
      </c>
      <c r="S19">
        <f>IFERROR(VLOOKUP($E19,Adaptive!$A:$J,MATCH(S$8,Adaptive!$4:$4,0),FALSE),0)</f>
        <v>0</v>
      </c>
      <c r="T19">
        <f>IFERROR(VLOOKUP($E19,Adaptive!$A:$J,MATCH(T$8,Adaptive!$4:$4,0),FALSE),0)</f>
        <v>0</v>
      </c>
      <c r="U19">
        <f>IFERROR(VLOOKUP($E19,Adaptive!$A:$J,MATCH(U$8,Adaptive!$4:$4,0),FALSE),0)</f>
        <v>7782</v>
      </c>
      <c r="V19">
        <f>IFERROR(VLOOKUP($E19,Adaptive!$A:$J,MATCH(V$8,Adaptive!$4:$4,0),FALSE),0)</f>
        <v>0</v>
      </c>
      <c r="W19">
        <f>IFERROR(VLOOKUP($E19,Adaptive!$A:$J,MATCH(W$8,Adaptive!$4:$4,0),FALSE),0)</f>
        <v>0</v>
      </c>
      <c r="X19">
        <f>IFERROR(VLOOKUP($E19,Adaptive!$A:$J,MATCH(X$8,Adaptive!$4:$4,0),FALSE),0)</f>
        <v>0</v>
      </c>
      <c r="Y19" s="6">
        <f t="shared" si="3"/>
        <v>2224.0103828682672</v>
      </c>
      <c r="Z19" s="6" t="str">
        <f>_xlfn.XLOOKUP(B19,[1]Xref!$H:$H,[1]Xref!$A:$A)</f>
        <v>AU1148G36</v>
      </c>
      <c r="AA19" s="6">
        <f t="shared" si="4"/>
        <v>3890</v>
      </c>
      <c r="AB19" s="10">
        <f t="shared" si="5"/>
        <v>2</v>
      </c>
      <c r="AC19">
        <f t="shared" si="6"/>
        <v>2</v>
      </c>
      <c r="AM19">
        <f t="shared" si="7"/>
        <v>0</v>
      </c>
      <c r="AN19">
        <f t="shared" si="8"/>
        <v>1400</v>
      </c>
    </row>
    <row r="20" spans="1:40">
      <c r="A20" s="10">
        <v>50</v>
      </c>
      <c r="B20" s="10">
        <v>228653</v>
      </c>
      <c r="C20" t="s">
        <v>93</v>
      </c>
      <c r="D20" t="s">
        <v>94</v>
      </c>
      <c r="E20" t="s">
        <v>95</v>
      </c>
      <c r="F20" s="19" t="s">
        <v>78</v>
      </c>
      <c r="G20">
        <v>777</v>
      </c>
      <c r="I20">
        <v>0</v>
      </c>
      <c r="J20">
        <v>612</v>
      </c>
      <c r="K20">
        <v>0</v>
      </c>
      <c r="L20">
        <v>636</v>
      </c>
      <c r="M20">
        <v>0</v>
      </c>
      <c r="N20">
        <v>0</v>
      </c>
      <c r="O20">
        <v>0</v>
      </c>
      <c r="P20">
        <v>471</v>
      </c>
      <c r="Q20">
        <f>IFERROR(VLOOKUP($E20,Adaptive!$A:$J,MATCH(Q$8,Adaptive!$4:$4,0),FALSE),0)</f>
        <v>0</v>
      </c>
      <c r="R20">
        <f>IFERROR(VLOOKUP($E20,Adaptive!$A:$J,MATCH(R$8,Adaptive!$4:$4,0),FALSE),0)</f>
        <v>0</v>
      </c>
      <c r="S20">
        <f>IFERROR(VLOOKUP($E20,Adaptive!$A:$J,MATCH(S$8,Adaptive!$4:$4,0),FALSE),0)</f>
        <v>0</v>
      </c>
      <c r="T20">
        <f>IFERROR(VLOOKUP($E20,Adaptive!$A:$J,MATCH(T$8,Adaptive!$4:$4,0),FALSE),0)</f>
        <v>0</v>
      </c>
      <c r="U20">
        <f>IFERROR(VLOOKUP($E20,Adaptive!$A:$J,MATCH(U$8,Adaptive!$4:$4,0),FALSE),0)</f>
        <v>0</v>
      </c>
      <c r="V20">
        <f>IFERROR(VLOOKUP($E20,Adaptive!$A:$J,MATCH(V$8,Adaptive!$4:$4,0),FALSE),0)</f>
        <v>0</v>
      </c>
      <c r="W20">
        <f>IFERROR(VLOOKUP($E20,Adaptive!$A:$J,MATCH(W$8,Adaptive!$4:$4,0),FALSE),0)</f>
        <v>0</v>
      </c>
      <c r="X20">
        <f>IFERROR(VLOOKUP($E20,Adaptive!$A:$J,MATCH(X$8,Adaptive!$4:$4,0),FALSE),0)</f>
        <v>0</v>
      </c>
      <c r="Y20" s="6">
        <f t="shared" si="3"/>
        <v>1298.1818181818151</v>
      </c>
      <c r="Z20" s="6" t="str">
        <f>_xlfn.XLOOKUP(B20,[1]Xref!$H:$H,[1]Xref!$A:$A)</f>
        <v>AU4398</v>
      </c>
      <c r="AA20" s="6">
        <v>0</v>
      </c>
      <c r="AB20" s="10">
        <f t="shared" si="5"/>
        <v>0</v>
      </c>
      <c r="AC20">
        <f t="shared" si="6"/>
        <v>0</v>
      </c>
      <c r="AM20">
        <f t="shared" si="7"/>
        <v>0</v>
      </c>
      <c r="AN20">
        <f t="shared" si="8"/>
        <v>0</v>
      </c>
    </row>
    <row r="21" spans="1:40">
      <c r="A21">
        <v>12</v>
      </c>
      <c r="B21" t="s">
        <v>96</v>
      </c>
      <c r="C21" t="s">
        <v>97</v>
      </c>
      <c r="D21" t="s">
        <v>98</v>
      </c>
      <c r="E21" t="s">
        <v>99</v>
      </c>
      <c r="F21" s="19" t="s">
        <v>78</v>
      </c>
      <c r="J21">
        <v>1417</v>
      </c>
      <c r="M21">
        <v>0</v>
      </c>
      <c r="N21">
        <v>1417</v>
      </c>
      <c r="Q21">
        <f>IFERROR(VLOOKUP($E21,Adaptive!$A:$J,MATCH(Q$8,Adaptive!$4:$4,0),FALSE),0)</f>
        <v>0</v>
      </c>
      <c r="R21">
        <f>IFERROR(VLOOKUP($E21,Adaptive!$A:$J,MATCH(R$8,Adaptive!$4:$4,0),FALSE),0)</f>
        <v>0</v>
      </c>
      <c r="S21">
        <f>IFERROR(VLOOKUP($E21,Adaptive!$A:$J,MATCH(S$8,Adaptive!$4:$4,0),FALSE),0)</f>
        <v>0</v>
      </c>
      <c r="T21">
        <f>IFERROR(VLOOKUP($E21,Adaptive!$A:$J,MATCH(T$8,Adaptive!$4:$4,0),FALSE),0)</f>
        <v>0</v>
      </c>
      <c r="U21">
        <f>IFERROR(VLOOKUP($E21,Adaptive!$A:$J,MATCH(U$8,Adaptive!$4:$4,0),FALSE),0)</f>
        <v>0</v>
      </c>
      <c r="V21">
        <f>IFERROR(VLOOKUP($E21,Adaptive!$A:$J,MATCH(V$8,Adaptive!$4:$4,0),FALSE),0)</f>
        <v>0</v>
      </c>
      <c r="W21">
        <f>IFERROR(VLOOKUP($E21,Adaptive!$A:$J,MATCH(W$8,Adaptive!$4:$4,0),FALSE),0)</f>
        <v>0</v>
      </c>
      <c r="X21">
        <f>IFERROR(VLOOKUP($E21,Adaptive!$A:$J,MATCH(X$8,Adaptive!$4:$4,0),FALSE),0)</f>
        <v>0</v>
      </c>
      <c r="Y21" s="6">
        <f t="shared" si="3"/>
        <v>1298.1818181818151</v>
      </c>
      <c r="Z21" s="6" t="str">
        <f>_xlfn.XLOOKUP(B21,[1]Xref!$H:$H,[1]Xref!$A:$A)</f>
        <v>AU7529</v>
      </c>
      <c r="AA21" s="6">
        <f t="shared" si="4"/>
        <v>1417</v>
      </c>
      <c r="AB21" s="10">
        <f t="shared" si="5"/>
        <v>2</v>
      </c>
      <c r="AC21">
        <f t="shared" si="6"/>
        <v>2</v>
      </c>
      <c r="AM21">
        <f t="shared" si="7"/>
        <v>0</v>
      </c>
      <c r="AN21">
        <f t="shared" si="8"/>
        <v>1400</v>
      </c>
    </row>
    <row r="22" spans="1:40">
      <c r="A22">
        <v>50</v>
      </c>
      <c r="B22">
        <v>228669</v>
      </c>
      <c r="C22" t="s">
        <v>100</v>
      </c>
      <c r="D22" t="s">
        <v>101</v>
      </c>
      <c r="E22" t="s">
        <v>102</v>
      </c>
      <c r="F22" s="19" t="s">
        <v>103</v>
      </c>
      <c r="I22">
        <v>0</v>
      </c>
      <c r="J22">
        <v>0</v>
      </c>
      <c r="K22">
        <v>242</v>
      </c>
      <c r="L22">
        <v>0</v>
      </c>
      <c r="M22">
        <v>0</v>
      </c>
      <c r="N22">
        <v>0</v>
      </c>
      <c r="O22">
        <v>242</v>
      </c>
      <c r="P22">
        <v>0</v>
      </c>
      <c r="Q22">
        <f>IFERROR(VLOOKUP($E22,Adaptive!$A:$J,MATCH(Q$8,Adaptive!$4:$4,0),FALSE),0)</f>
        <v>0</v>
      </c>
      <c r="R22">
        <f>IFERROR(VLOOKUP($E22,Adaptive!$A:$J,MATCH(R$8,Adaptive!$4:$4,0),FALSE),0)</f>
        <v>0</v>
      </c>
      <c r="S22">
        <f>IFERROR(VLOOKUP($E22,Adaptive!$A:$J,MATCH(S$8,Adaptive!$4:$4,0),FALSE),0)</f>
        <v>0</v>
      </c>
      <c r="T22">
        <f>IFERROR(VLOOKUP($E22,Adaptive!$A:$J,MATCH(T$8,Adaptive!$4:$4,0),FALSE),0)</f>
        <v>0</v>
      </c>
      <c r="U22">
        <f>IFERROR(VLOOKUP($E22,Adaptive!$A:$J,MATCH(U$8,Adaptive!$4:$4,0),FALSE),0)</f>
        <v>0</v>
      </c>
      <c r="V22">
        <f>IFERROR(VLOOKUP($E22,Adaptive!$A:$J,MATCH(V$8,Adaptive!$4:$4,0),FALSE),0)</f>
        <v>0</v>
      </c>
      <c r="W22">
        <f>IFERROR(VLOOKUP($E22,Adaptive!$A:$J,MATCH(W$8,Adaptive!$4:$4,0),FALSE),0)</f>
        <v>0</v>
      </c>
      <c r="X22">
        <f>IFERROR(VLOOKUP($E22,Adaptive!$A:$J,MATCH(X$8,Adaptive!$4:$4,0),FALSE),0)</f>
        <v>0</v>
      </c>
      <c r="Y22" s="6">
        <f t="shared" si="3"/>
        <v>2155.4716981132019</v>
      </c>
      <c r="Z22" s="6" t="str">
        <f>_xlfn.XLOOKUP(B22,[1]Xref!$H:$H,[1]Xref!$A:$A)</f>
        <v>AU3426</v>
      </c>
      <c r="AA22" s="6">
        <f t="shared" si="4"/>
        <v>242</v>
      </c>
      <c r="AB22" s="10">
        <f t="shared" si="5"/>
        <v>1</v>
      </c>
      <c r="AC22">
        <f t="shared" si="6"/>
        <v>1</v>
      </c>
      <c r="AM22">
        <f t="shared" si="7"/>
        <v>0</v>
      </c>
      <c r="AN22">
        <f t="shared" si="8"/>
        <v>700</v>
      </c>
    </row>
    <row r="23" spans="1:40">
      <c r="A23" s="10">
        <v>50</v>
      </c>
      <c r="B23" s="10">
        <v>229174</v>
      </c>
      <c r="C23" t="s">
        <v>104</v>
      </c>
      <c r="D23" t="s">
        <v>105</v>
      </c>
      <c r="E23" t="s">
        <v>106</v>
      </c>
      <c r="F23" s="19" t="s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f>IFERROR(VLOOKUP($E23,Adaptive!$A:$J,MATCH(Q$8,Adaptive!$4:$4,0),FALSE),0)</f>
        <v>0</v>
      </c>
      <c r="R23">
        <f>IFERROR(VLOOKUP($E23,Adaptive!$A:$J,MATCH(R$8,Adaptive!$4:$4,0),FALSE),0)</f>
        <v>0</v>
      </c>
      <c r="S23">
        <f>IFERROR(VLOOKUP($E23,Adaptive!$A:$J,MATCH(S$8,Adaptive!$4:$4,0),FALSE),0)</f>
        <v>0</v>
      </c>
      <c r="T23">
        <f>IFERROR(VLOOKUP($E23,Adaptive!$A:$J,MATCH(T$8,Adaptive!$4:$4,0),FALSE),0)</f>
        <v>0</v>
      </c>
      <c r="U23">
        <f>IFERROR(VLOOKUP($E23,Adaptive!$A:$J,MATCH(U$8,Adaptive!$4:$4,0),FALSE),0)</f>
        <v>0</v>
      </c>
      <c r="V23">
        <f>IFERROR(VLOOKUP($E23,Adaptive!$A:$J,MATCH(V$8,Adaptive!$4:$4,0),FALSE),0)</f>
        <v>0</v>
      </c>
      <c r="W23">
        <f>IFERROR(VLOOKUP($E23,Adaptive!$A:$J,MATCH(W$8,Adaptive!$4:$4,0),FALSE),0)</f>
        <v>0</v>
      </c>
      <c r="X23">
        <f>IFERROR(VLOOKUP($E23,Adaptive!$A:$J,MATCH(X$8,Adaptive!$4:$4,0),FALSE),0)</f>
        <v>0</v>
      </c>
      <c r="Y23" s="6">
        <f t="shared" si="3"/>
        <v>2155.4716981132019</v>
      </c>
      <c r="Z23" s="6" t="str">
        <f>_xlfn.XLOOKUP(B23,[1]Xref!$H:$H,[1]Xref!$A:$A)</f>
        <v>AU3426</v>
      </c>
      <c r="AA23" s="6">
        <f t="shared" si="4"/>
        <v>0</v>
      </c>
      <c r="AB23" s="10">
        <f t="shared" si="5"/>
        <v>0</v>
      </c>
      <c r="AC23">
        <f t="shared" si="6"/>
        <v>0</v>
      </c>
      <c r="AM23">
        <f t="shared" si="7"/>
        <v>0</v>
      </c>
      <c r="AN23">
        <f t="shared" si="8"/>
        <v>0</v>
      </c>
    </row>
    <row r="24" spans="1:40">
      <c r="A24">
        <v>50</v>
      </c>
      <c r="B24">
        <v>229961</v>
      </c>
      <c r="C24" t="s">
        <v>107</v>
      </c>
      <c r="D24" t="s">
        <v>108</v>
      </c>
      <c r="E24" t="s">
        <v>109</v>
      </c>
      <c r="F24">
        <v>2.5499999999999998</v>
      </c>
      <c r="G24">
        <v>2071</v>
      </c>
      <c r="I24">
        <v>5867</v>
      </c>
      <c r="J24">
        <v>12508</v>
      </c>
      <c r="K24">
        <v>0</v>
      </c>
      <c r="L24">
        <v>0</v>
      </c>
      <c r="M24">
        <v>3796</v>
      </c>
      <c r="N24">
        <v>12508</v>
      </c>
      <c r="O24">
        <v>0</v>
      </c>
      <c r="P24">
        <v>0</v>
      </c>
      <c r="Q24">
        <f>IFERROR(VLOOKUP($E24,Adaptive!$A:$J,MATCH(Q$8,Adaptive!$4:$4,0),FALSE),0)</f>
        <v>0</v>
      </c>
      <c r="R24">
        <f>IFERROR(VLOOKUP($E24,Adaptive!$A:$J,MATCH(R$8,Adaptive!$4:$4,0),FALSE),0)</f>
        <v>0</v>
      </c>
      <c r="S24">
        <f>IFERROR(VLOOKUP($E24,Adaptive!$A:$J,MATCH(S$8,Adaptive!$4:$4,0),FALSE),0)</f>
        <v>0</v>
      </c>
      <c r="T24">
        <f>IFERROR(VLOOKUP($E24,Adaptive!$A:$J,MATCH(T$8,Adaptive!$4:$4,0),FALSE),0)</f>
        <v>0</v>
      </c>
      <c r="U24">
        <f>IFERROR(VLOOKUP($E24,Adaptive!$A:$J,MATCH(U$8,Adaptive!$4:$4,0),FALSE),0)</f>
        <v>0</v>
      </c>
      <c r="V24">
        <f>IFERROR(VLOOKUP($E24,Adaptive!$A:$J,MATCH(V$8,Adaptive!$4:$4,0),FALSE),0)</f>
        <v>0</v>
      </c>
      <c r="W24">
        <f>IFERROR(VLOOKUP($E24,Adaptive!$A:$J,MATCH(W$8,Adaptive!$4:$4,0),FALSE),0)</f>
        <v>0</v>
      </c>
      <c r="X24">
        <f>IFERROR(VLOOKUP($E24,Adaptive!$A:$J,MATCH(X$8,Adaptive!$4:$4,0),FALSE),0)</f>
        <v>0</v>
      </c>
      <c r="Y24" s="6">
        <f t="shared" si="3"/>
        <v>1784.9999999999998</v>
      </c>
      <c r="Z24" s="6" t="str">
        <f>_xlfn.XLOOKUP(B24,[1]Xref!$H:$H,[1]Xref!$A:$A)</f>
        <v>AU4398</v>
      </c>
      <c r="AA24" s="6">
        <f t="shared" si="4"/>
        <v>16304</v>
      </c>
      <c r="AB24" s="10">
        <f t="shared" si="5"/>
        <v>10</v>
      </c>
      <c r="AC24">
        <f t="shared" si="6"/>
        <v>10</v>
      </c>
      <c r="AM24">
        <f t="shared" si="7"/>
        <v>0</v>
      </c>
      <c r="AN24">
        <f t="shared" si="8"/>
        <v>7000</v>
      </c>
    </row>
    <row r="25" spans="1:40">
      <c r="A25" s="10">
        <v>50</v>
      </c>
      <c r="B25" s="10">
        <v>229962</v>
      </c>
      <c r="C25" t="s">
        <v>110</v>
      </c>
      <c r="D25" t="s">
        <v>111</v>
      </c>
      <c r="E25" t="s">
        <v>112</v>
      </c>
      <c r="F25">
        <v>2.5499999999999998</v>
      </c>
      <c r="H25">
        <v>8400</v>
      </c>
      <c r="I25">
        <v>0</v>
      </c>
      <c r="J25">
        <v>5875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f>IFERROR(VLOOKUP($E25,Adaptive!$A:$J,MATCH(Q$8,Adaptive!$4:$4,0),FALSE),0)</f>
        <v>0</v>
      </c>
      <c r="R25">
        <f>IFERROR(VLOOKUP($E25,Adaptive!$A:$J,MATCH(R$8,Adaptive!$4:$4,0),FALSE),0)</f>
        <v>8400</v>
      </c>
      <c r="S25">
        <f>IFERROR(VLOOKUP($E25,Adaptive!$A:$J,MATCH(S$8,Adaptive!$4:$4,0),FALSE),0)</f>
        <v>0</v>
      </c>
      <c r="T25">
        <f>IFERROR(VLOOKUP($E25,Adaptive!$A:$J,MATCH(T$8,Adaptive!$4:$4,0),FALSE),0)</f>
        <v>0</v>
      </c>
      <c r="U25">
        <f>IFERROR(VLOOKUP($E25,Adaptive!$A:$J,MATCH(U$8,Adaptive!$4:$4,0),FALSE),0)</f>
        <v>8400</v>
      </c>
      <c r="V25">
        <f>IFERROR(VLOOKUP($E25,Adaptive!$A:$J,MATCH(V$8,Adaptive!$4:$4,0),FALSE),0)</f>
        <v>0</v>
      </c>
      <c r="W25">
        <f>IFERROR(VLOOKUP($E25,Adaptive!$A:$J,MATCH(W$8,Adaptive!$4:$4,0),FALSE),0)</f>
        <v>0</v>
      </c>
      <c r="X25">
        <f>IFERROR(VLOOKUP($E25,Adaptive!$A:$J,MATCH(X$8,Adaptive!$4:$4,0),FALSE),0)</f>
        <v>0</v>
      </c>
      <c r="Y25" s="6">
        <f t="shared" si="3"/>
        <v>1784.9999999999998</v>
      </c>
      <c r="Z25" s="6" t="str">
        <f>_xlfn.XLOOKUP(B25,[1]Xref!$H:$H,[1]Xref!$A:$A)</f>
        <v>AU4398</v>
      </c>
      <c r="AA25" s="6">
        <f t="shared" si="4"/>
        <v>0</v>
      </c>
      <c r="AB25" s="10">
        <f t="shared" si="5"/>
        <v>0</v>
      </c>
      <c r="AC25">
        <f t="shared" si="6"/>
        <v>0</v>
      </c>
      <c r="AM25">
        <f t="shared" si="7"/>
        <v>0</v>
      </c>
      <c r="AN25">
        <f t="shared" si="8"/>
        <v>0</v>
      </c>
    </row>
    <row r="26" spans="1:40">
      <c r="A26" s="10">
        <v>50</v>
      </c>
      <c r="B26" s="10">
        <v>231553</v>
      </c>
      <c r="C26" t="s">
        <v>113</v>
      </c>
      <c r="D26" t="s">
        <v>114</v>
      </c>
      <c r="E26" t="s">
        <v>115</v>
      </c>
      <c r="F26" s="19" t="s">
        <v>116</v>
      </c>
      <c r="H26">
        <v>3300</v>
      </c>
      <c r="I26">
        <v>0</v>
      </c>
      <c r="J26">
        <v>3392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f>IFERROR(VLOOKUP($E26,Adaptive!$A:$J,MATCH(Q$8,Adaptive!$4:$4,0),FALSE),0)</f>
        <v>0</v>
      </c>
      <c r="R26">
        <f>IFERROR(VLOOKUP($E26,Adaptive!$A:$J,MATCH(R$8,Adaptive!$4:$4,0),FALSE),0)</f>
        <v>3300</v>
      </c>
      <c r="S26">
        <f>IFERROR(VLOOKUP($E26,Adaptive!$A:$J,MATCH(S$8,Adaptive!$4:$4,0),FALSE),0)</f>
        <v>0</v>
      </c>
      <c r="T26">
        <f>IFERROR(VLOOKUP($E26,Adaptive!$A:$J,MATCH(T$8,Adaptive!$4:$4,0),FALSE),0)</f>
        <v>0</v>
      </c>
      <c r="U26">
        <f>IFERROR(VLOOKUP($E26,Adaptive!$A:$J,MATCH(U$8,Adaptive!$4:$4,0),FALSE),0)</f>
        <v>3300</v>
      </c>
      <c r="V26">
        <f>IFERROR(VLOOKUP($E26,Adaptive!$A:$J,MATCH(V$8,Adaptive!$4:$4,0),FALSE),0)</f>
        <v>0</v>
      </c>
      <c r="W26">
        <f>IFERROR(VLOOKUP($E26,Adaptive!$A:$J,MATCH(W$8,Adaptive!$4:$4,0),FALSE),0)</f>
        <v>0</v>
      </c>
      <c r="X26">
        <f>IFERROR(VLOOKUP($E26,Adaptive!$A:$J,MATCH(X$8,Adaptive!$4:$4,0),FALSE),0)</f>
        <v>0</v>
      </c>
      <c r="Y26" s="6">
        <f t="shared" si="3"/>
        <v>1738.8127853881258</v>
      </c>
      <c r="Z26" s="6" t="str">
        <f>_xlfn.XLOOKUP(B26,[1]Xref!$H:$H,[1]Xref!$A:$A)</f>
        <v>AU5429D</v>
      </c>
      <c r="AA26" s="6">
        <f t="shared" si="4"/>
        <v>0</v>
      </c>
      <c r="AB26" s="10">
        <f t="shared" si="5"/>
        <v>0</v>
      </c>
      <c r="AC26">
        <f t="shared" si="6"/>
        <v>0</v>
      </c>
      <c r="AM26">
        <f t="shared" si="7"/>
        <v>0</v>
      </c>
      <c r="AN26">
        <f t="shared" si="8"/>
        <v>0</v>
      </c>
    </row>
    <row r="27" spans="1:40">
      <c r="A27">
        <v>50</v>
      </c>
      <c r="B27">
        <v>232162</v>
      </c>
      <c r="C27" t="s">
        <v>117</v>
      </c>
      <c r="D27" t="s">
        <v>118</v>
      </c>
      <c r="E27" t="s">
        <v>119</v>
      </c>
      <c r="F27" s="19" t="s">
        <v>120</v>
      </c>
      <c r="I27">
        <v>0</v>
      </c>
      <c r="J27">
        <v>1683</v>
      </c>
      <c r="K27">
        <v>0</v>
      </c>
      <c r="L27">
        <v>0</v>
      </c>
      <c r="M27">
        <v>0</v>
      </c>
      <c r="N27">
        <v>1683</v>
      </c>
      <c r="O27">
        <v>0</v>
      </c>
      <c r="P27">
        <v>0</v>
      </c>
      <c r="Q27">
        <f>IFERROR(VLOOKUP($E27,Adaptive!$A:$J,MATCH(Q$8,Adaptive!$4:$4,0),FALSE),0)</f>
        <v>0</v>
      </c>
      <c r="R27">
        <f>IFERROR(VLOOKUP($E27,Adaptive!$A:$J,MATCH(R$8,Adaptive!$4:$4,0),FALSE),0)</f>
        <v>0</v>
      </c>
      <c r="S27">
        <f>IFERROR(VLOOKUP($E27,Adaptive!$A:$J,MATCH(S$8,Adaptive!$4:$4,0),FALSE),0)</f>
        <v>0</v>
      </c>
      <c r="T27">
        <f>IFERROR(VLOOKUP($E27,Adaptive!$A:$J,MATCH(T$8,Adaptive!$4:$4,0),FALSE),0)</f>
        <v>0</v>
      </c>
      <c r="U27">
        <f>IFERROR(VLOOKUP($E27,Adaptive!$A:$J,MATCH(U$8,Adaptive!$4:$4,0),FALSE),0)</f>
        <v>0</v>
      </c>
      <c r="V27">
        <f>IFERROR(VLOOKUP($E27,Adaptive!$A:$J,MATCH(V$8,Adaptive!$4:$4,0),FALSE),0)</f>
        <v>0</v>
      </c>
      <c r="W27">
        <f>IFERROR(VLOOKUP($E27,Adaptive!$A:$J,MATCH(W$8,Adaptive!$4:$4,0),FALSE),0)</f>
        <v>0</v>
      </c>
      <c r="X27">
        <f>IFERROR(VLOOKUP($E27,Adaptive!$A:$J,MATCH(X$8,Adaptive!$4:$4,0),FALSE),0)</f>
        <v>0</v>
      </c>
      <c r="Y27" s="6">
        <f t="shared" si="3"/>
        <v>2538.666666666662</v>
      </c>
      <c r="Z27" s="6" t="str">
        <f>_xlfn.XLOOKUP(B27,[1]Xref!$H:$H,[1]Xref!$A:$A)</f>
        <v>AU3426</v>
      </c>
      <c r="AA27" s="6">
        <f t="shared" si="4"/>
        <v>1683</v>
      </c>
      <c r="AB27" s="10">
        <f t="shared" si="5"/>
        <v>1</v>
      </c>
      <c r="AC27">
        <f t="shared" si="6"/>
        <v>1</v>
      </c>
      <c r="AM27">
        <f t="shared" si="7"/>
        <v>0</v>
      </c>
      <c r="AN27">
        <f t="shared" si="8"/>
        <v>700</v>
      </c>
    </row>
    <row r="28" spans="1:40">
      <c r="A28" s="10">
        <v>12</v>
      </c>
      <c r="B28" s="10">
        <v>232562</v>
      </c>
      <c r="C28" t="s">
        <v>121</v>
      </c>
      <c r="D28" t="s">
        <v>122</v>
      </c>
      <c r="E28" t="s">
        <v>123</v>
      </c>
      <c r="F28" s="19" t="s">
        <v>124</v>
      </c>
      <c r="M28">
        <v>0</v>
      </c>
      <c r="N28">
        <v>0</v>
      </c>
      <c r="O28">
        <v>0</v>
      </c>
      <c r="P28">
        <v>0</v>
      </c>
      <c r="Q28">
        <f>IFERROR(VLOOKUP($E28,Adaptive!$A:$J,MATCH(Q$8,Adaptive!$4:$4,0),FALSE),0)</f>
        <v>0</v>
      </c>
      <c r="R28">
        <f>IFERROR(VLOOKUP($E28,Adaptive!$A:$J,MATCH(R$8,Adaptive!$4:$4,0),FALSE),0)</f>
        <v>0</v>
      </c>
      <c r="S28">
        <f>IFERROR(VLOOKUP($E28,Adaptive!$A:$J,MATCH(S$8,Adaptive!$4:$4,0),FALSE),0)</f>
        <v>0</v>
      </c>
      <c r="T28">
        <f>IFERROR(VLOOKUP($E28,Adaptive!$A:$J,MATCH(T$8,Adaptive!$4:$4,0),FALSE),0)</f>
        <v>0</v>
      </c>
      <c r="U28">
        <f>IFERROR(VLOOKUP($E28,Adaptive!$A:$J,MATCH(U$8,Adaptive!$4:$4,0),FALSE),0)</f>
        <v>0</v>
      </c>
      <c r="V28">
        <f>IFERROR(VLOOKUP($E28,Adaptive!$A:$J,MATCH(V$8,Adaptive!$4:$4,0),FALSE),0)</f>
        <v>0</v>
      </c>
      <c r="W28">
        <f>IFERROR(VLOOKUP($E28,Adaptive!$A:$J,MATCH(W$8,Adaptive!$4:$4,0),FALSE),0)</f>
        <v>0</v>
      </c>
      <c r="X28">
        <f>IFERROR(VLOOKUP($E28,Adaptive!$A:$J,MATCH(X$8,Adaptive!$4:$4,0),FALSE),0)</f>
        <v>0</v>
      </c>
      <c r="Y28" s="6">
        <f t="shared" si="3"/>
        <v>1279.2833146696471</v>
      </c>
      <c r="Z28" s="6" t="str">
        <f>_xlfn.XLOOKUP(B28,[1]Xref!$H:$H,[1]Xref!$A:$A)</f>
        <v>AU6563</v>
      </c>
      <c r="AA28" s="6">
        <f t="shared" si="4"/>
        <v>0</v>
      </c>
      <c r="AB28" s="10">
        <f t="shared" si="5"/>
        <v>0</v>
      </c>
      <c r="AC28">
        <f t="shared" si="6"/>
        <v>0</v>
      </c>
      <c r="AM28">
        <f t="shared" si="7"/>
        <v>0</v>
      </c>
      <c r="AN28">
        <f t="shared" si="8"/>
        <v>0</v>
      </c>
    </row>
    <row r="29" spans="1:40">
      <c r="A29">
        <v>50</v>
      </c>
      <c r="B29">
        <v>232983</v>
      </c>
      <c r="C29" t="s">
        <v>125</v>
      </c>
      <c r="D29" t="s">
        <v>126</v>
      </c>
      <c r="E29" t="s">
        <v>127</v>
      </c>
      <c r="F29">
        <v>2.4</v>
      </c>
      <c r="G29">
        <v>11215</v>
      </c>
      <c r="H29">
        <v>14764</v>
      </c>
      <c r="I29">
        <v>10356</v>
      </c>
      <c r="J29">
        <v>12508</v>
      </c>
      <c r="K29">
        <v>5512</v>
      </c>
      <c r="L29">
        <v>37649</v>
      </c>
      <c r="M29">
        <v>0</v>
      </c>
      <c r="N29">
        <v>0</v>
      </c>
      <c r="O29">
        <v>2397</v>
      </c>
      <c r="P29">
        <v>37649</v>
      </c>
      <c r="Q29">
        <f>IFERROR(VLOOKUP($E29,Adaptive!$A:$J,MATCH(Q$8,Adaptive!$4:$4,0),FALSE),0)</f>
        <v>0</v>
      </c>
      <c r="R29">
        <f>IFERROR(VLOOKUP($E29,Adaptive!$A:$J,MATCH(R$8,Adaptive!$4:$4,0),FALSE),0)</f>
        <v>14764</v>
      </c>
      <c r="S29">
        <f>IFERROR(VLOOKUP($E29,Adaptive!$A:$J,MATCH(S$8,Adaptive!$4:$4,0),FALSE),0)</f>
        <v>0</v>
      </c>
      <c r="T29">
        <f>IFERROR(VLOOKUP($E29,Adaptive!$A:$J,MATCH(T$8,Adaptive!$4:$4,0),FALSE),0)</f>
        <v>0</v>
      </c>
      <c r="U29">
        <f>IFERROR(VLOOKUP($E29,Adaptive!$A:$J,MATCH(U$8,Adaptive!$4:$4,0),FALSE),0)</f>
        <v>14764</v>
      </c>
      <c r="V29">
        <f>IFERROR(VLOOKUP($E29,Adaptive!$A:$J,MATCH(V$8,Adaptive!$4:$4,0),FALSE),0)</f>
        <v>0</v>
      </c>
      <c r="W29">
        <f>IFERROR(VLOOKUP($E29,Adaptive!$A:$J,MATCH(W$8,Adaptive!$4:$4,0),FALSE),0)</f>
        <v>0</v>
      </c>
      <c r="X29">
        <f>IFERROR(VLOOKUP($E29,Adaptive!$A:$J,MATCH(X$8,Adaptive!$4:$4,0),FALSE),0)</f>
        <v>0</v>
      </c>
      <c r="Y29" s="6">
        <f t="shared" si="3"/>
        <v>1680</v>
      </c>
      <c r="Z29" s="6" t="str">
        <f>_xlfn.XLOOKUP(B29,[1]Xref!$H:$H,[1]Xref!$A:$A)</f>
        <v>AU2958A</v>
      </c>
      <c r="AA29" s="6">
        <f t="shared" si="4"/>
        <v>40046</v>
      </c>
      <c r="AB29" s="10">
        <f t="shared" si="5"/>
        <v>24</v>
      </c>
      <c r="AC29">
        <f t="shared" si="6"/>
        <v>24</v>
      </c>
      <c r="AM29">
        <f t="shared" si="7"/>
        <v>0</v>
      </c>
      <c r="AN29">
        <f t="shared" si="8"/>
        <v>16800</v>
      </c>
    </row>
    <row r="30" spans="1:40">
      <c r="A30">
        <v>12</v>
      </c>
      <c r="B30">
        <v>233117</v>
      </c>
      <c r="C30" t="s">
        <v>128</v>
      </c>
      <c r="D30" t="s">
        <v>129</v>
      </c>
      <c r="E30" t="s">
        <v>130</v>
      </c>
      <c r="F30" s="19" t="s">
        <v>65</v>
      </c>
      <c r="G30">
        <v>2307</v>
      </c>
      <c r="I30">
        <v>3148</v>
      </c>
      <c r="J30">
        <v>1689</v>
      </c>
      <c r="M30">
        <v>841</v>
      </c>
      <c r="N30">
        <v>1689</v>
      </c>
      <c r="Q30">
        <f>IFERROR(VLOOKUP($E30,Adaptive!$A:$J,MATCH(Q$8,Adaptive!$4:$4,0),FALSE),0)</f>
        <v>0</v>
      </c>
      <c r="R30">
        <f>IFERROR(VLOOKUP($E30,Adaptive!$A:$J,MATCH(R$8,Adaptive!$4:$4,0),FALSE),0)</f>
        <v>0</v>
      </c>
      <c r="S30">
        <f>IFERROR(VLOOKUP($E30,Adaptive!$A:$J,MATCH(S$8,Adaptive!$4:$4,0),FALSE),0)</f>
        <v>0</v>
      </c>
      <c r="T30">
        <f>IFERROR(VLOOKUP($E30,Adaptive!$A:$J,MATCH(T$8,Adaptive!$4:$4,0),FALSE),0)</f>
        <v>0</v>
      </c>
      <c r="U30">
        <f>IFERROR(VLOOKUP($E30,Adaptive!$A:$J,MATCH(U$8,Adaptive!$4:$4,0),FALSE),0)</f>
        <v>0</v>
      </c>
      <c r="V30">
        <f>IFERROR(VLOOKUP($E30,Adaptive!$A:$J,MATCH(V$8,Adaptive!$4:$4,0),FALSE),0)</f>
        <v>0</v>
      </c>
      <c r="W30">
        <f>IFERROR(VLOOKUP($E30,Adaptive!$A:$J,MATCH(W$8,Adaptive!$4:$4,0),FALSE),0)</f>
        <v>0</v>
      </c>
      <c r="X30">
        <f>IFERROR(VLOOKUP($E30,Adaptive!$A:$J,MATCH(X$8,Adaptive!$4:$4,0),FALSE),0)</f>
        <v>0</v>
      </c>
      <c r="Y30" s="6">
        <f t="shared" si="3"/>
        <v>1842.5806451612841</v>
      </c>
      <c r="Z30" s="6" t="str">
        <f>_xlfn.XLOOKUP(B30,[1]Xref!$H:$H,[1]Xref!$A:$A)</f>
        <v>AU3426A</v>
      </c>
      <c r="AA30" s="6">
        <f t="shared" si="4"/>
        <v>2530</v>
      </c>
      <c r="AB30" s="10">
        <f t="shared" si="5"/>
        <v>2</v>
      </c>
      <c r="AC30">
        <f t="shared" si="6"/>
        <v>2</v>
      </c>
      <c r="AM30">
        <f t="shared" si="7"/>
        <v>0</v>
      </c>
      <c r="AN30">
        <f t="shared" si="8"/>
        <v>1400</v>
      </c>
    </row>
    <row r="31" spans="1:40">
      <c r="A31" s="10">
        <v>50</v>
      </c>
      <c r="B31" s="10">
        <v>233169</v>
      </c>
      <c r="C31" t="s">
        <v>131</v>
      </c>
      <c r="D31" t="s">
        <v>132</v>
      </c>
      <c r="E31" t="s">
        <v>133</v>
      </c>
      <c r="F31" s="19" t="s">
        <v>134</v>
      </c>
      <c r="G31">
        <v>11816</v>
      </c>
      <c r="I31">
        <v>9492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f>IFERROR(VLOOKUP($E31,Adaptive!$A:$J,MATCH(Q$8,Adaptive!$4:$4,0),FALSE),0)</f>
        <v>0</v>
      </c>
      <c r="R31">
        <f>IFERROR(VLOOKUP($E31,Adaptive!$A:$J,MATCH(R$8,Adaptive!$4:$4,0),FALSE),0)</f>
        <v>0</v>
      </c>
      <c r="S31">
        <f>IFERROR(VLOOKUP($E31,Adaptive!$A:$J,MATCH(S$8,Adaptive!$4:$4,0),FALSE),0)</f>
        <v>0</v>
      </c>
      <c r="T31">
        <f>IFERROR(VLOOKUP($E31,Adaptive!$A:$J,MATCH(T$8,Adaptive!$4:$4,0),FALSE),0)</f>
        <v>0</v>
      </c>
      <c r="U31">
        <f>IFERROR(VLOOKUP($E31,Adaptive!$A:$J,MATCH(U$8,Adaptive!$4:$4,0),FALSE),0)</f>
        <v>0</v>
      </c>
      <c r="V31">
        <f>IFERROR(VLOOKUP($E31,Adaptive!$A:$J,MATCH(V$8,Adaptive!$4:$4,0),FALSE),0)</f>
        <v>0</v>
      </c>
      <c r="W31">
        <f>IFERROR(VLOOKUP($E31,Adaptive!$A:$J,MATCH(W$8,Adaptive!$4:$4,0),FALSE),0)</f>
        <v>0</v>
      </c>
      <c r="X31">
        <f>IFERROR(VLOOKUP($E31,Adaptive!$A:$J,MATCH(X$8,Adaptive!$4:$4,0),FALSE),0)</f>
        <v>0</v>
      </c>
      <c r="Y31" s="6">
        <f t="shared" si="3"/>
        <v>1969.6551724137889</v>
      </c>
      <c r="Z31" s="6" t="str">
        <f>_xlfn.XLOOKUP(B31,[1]Xref!$H:$H,[1]Xref!$A:$A)</f>
        <v>AU3426</v>
      </c>
      <c r="AA31" s="6">
        <f t="shared" si="4"/>
        <v>0</v>
      </c>
      <c r="AB31" s="10">
        <f t="shared" si="5"/>
        <v>0</v>
      </c>
      <c r="AC31">
        <f t="shared" si="6"/>
        <v>0</v>
      </c>
      <c r="AM31">
        <f t="shared" si="7"/>
        <v>0</v>
      </c>
      <c r="AN31">
        <f t="shared" si="8"/>
        <v>0</v>
      </c>
    </row>
    <row r="32" spans="1:40">
      <c r="A32">
        <v>50</v>
      </c>
      <c r="B32">
        <v>233981</v>
      </c>
      <c r="C32" t="s">
        <v>135</v>
      </c>
      <c r="D32" t="s">
        <v>136</v>
      </c>
      <c r="E32" t="s">
        <v>137</v>
      </c>
      <c r="F32" s="19" t="s">
        <v>116</v>
      </c>
      <c r="G32">
        <v>2080</v>
      </c>
      <c r="I32">
        <v>756</v>
      </c>
      <c r="J32">
        <v>1908</v>
      </c>
      <c r="K32">
        <v>0</v>
      </c>
      <c r="L32">
        <v>954</v>
      </c>
      <c r="M32">
        <v>0</v>
      </c>
      <c r="N32">
        <v>584</v>
      </c>
      <c r="O32">
        <v>0</v>
      </c>
      <c r="P32">
        <v>954</v>
      </c>
      <c r="Q32">
        <f>IFERROR(VLOOKUP($E32,Adaptive!$A:$J,MATCH(Q$8,Adaptive!$4:$4,0),FALSE),0)</f>
        <v>0</v>
      </c>
      <c r="R32">
        <f>IFERROR(VLOOKUP($E32,Adaptive!$A:$J,MATCH(R$8,Adaptive!$4:$4,0),FALSE),0)</f>
        <v>0</v>
      </c>
      <c r="S32">
        <f>IFERROR(VLOOKUP($E32,Adaptive!$A:$J,MATCH(S$8,Adaptive!$4:$4,0),FALSE),0)</f>
        <v>0</v>
      </c>
      <c r="T32">
        <f>IFERROR(VLOOKUP($E32,Adaptive!$A:$J,MATCH(T$8,Adaptive!$4:$4,0),FALSE),0)</f>
        <v>0</v>
      </c>
      <c r="U32">
        <f>IFERROR(VLOOKUP($E32,Adaptive!$A:$J,MATCH(U$8,Adaptive!$4:$4,0),FALSE),0)</f>
        <v>0</v>
      </c>
      <c r="V32">
        <f>IFERROR(VLOOKUP($E32,Adaptive!$A:$J,MATCH(V$8,Adaptive!$4:$4,0),FALSE),0)</f>
        <v>0</v>
      </c>
      <c r="W32">
        <f>IFERROR(VLOOKUP($E32,Adaptive!$A:$J,MATCH(W$8,Adaptive!$4:$4,0),FALSE),0)</f>
        <v>0</v>
      </c>
      <c r="X32">
        <f>IFERROR(VLOOKUP($E32,Adaptive!$A:$J,MATCH(X$8,Adaptive!$4:$4,0),FALSE),0)</f>
        <v>0</v>
      </c>
      <c r="Y32" s="6">
        <f t="shared" si="3"/>
        <v>1738.8127853881258</v>
      </c>
      <c r="Z32" s="6" t="str">
        <f>_xlfn.XLOOKUP(B32,[1]Xref!$H:$H,[1]Xref!$A:$A)</f>
        <v>AU5429D</v>
      </c>
      <c r="AA32" s="6">
        <f t="shared" si="4"/>
        <v>1538</v>
      </c>
      <c r="AB32" s="10">
        <f t="shared" si="5"/>
        <v>1</v>
      </c>
      <c r="AC32">
        <f t="shared" si="6"/>
        <v>1</v>
      </c>
      <c r="AM32">
        <f t="shared" si="7"/>
        <v>0</v>
      </c>
      <c r="AN32">
        <f t="shared" si="8"/>
        <v>700</v>
      </c>
    </row>
    <row r="33" spans="1:40">
      <c r="A33" s="10">
        <v>50</v>
      </c>
      <c r="B33" s="10">
        <v>233982</v>
      </c>
      <c r="C33" t="s">
        <v>138</v>
      </c>
      <c r="D33" t="s">
        <v>139</v>
      </c>
      <c r="E33" t="s">
        <v>140</v>
      </c>
      <c r="F33" s="19" t="s">
        <v>116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f>IFERROR(VLOOKUP($E33,Adaptive!$A:$J,MATCH(Q$8,Adaptive!$4:$4,0),FALSE),0)</f>
        <v>0</v>
      </c>
      <c r="R33">
        <f>IFERROR(VLOOKUP($E33,Adaptive!$A:$J,MATCH(R$8,Adaptive!$4:$4,0),FALSE),0)</f>
        <v>0</v>
      </c>
      <c r="S33">
        <f>IFERROR(VLOOKUP($E33,Adaptive!$A:$J,MATCH(S$8,Adaptive!$4:$4,0),FALSE),0)</f>
        <v>0</v>
      </c>
      <c r="T33">
        <f>IFERROR(VLOOKUP($E33,Adaptive!$A:$J,MATCH(T$8,Adaptive!$4:$4,0),FALSE),0)</f>
        <v>0</v>
      </c>
      <c r="U33">
        <f>IFERROR(VLOOKUP($E33,Adaptive!$A:$J,MATCH(U$8,Adaptive!$4:$4,0),FALSE),0)</f>
        <v>0</v>
      </c>
      <c r="V33">
        <f>IFERROR(VLOOKUP($E33,Adaptive!$A:$J,MATCH(V$8,Adaptive!$4:$4,0),FALSE),0)</f>
        <v>0</v>
      </c>
      <c r="W33">
        <f>IFERROR(VLOOKUP($E33,Adaptive!$A:$J,MATCH(W$8,Adaptive!$4:$4,0),FALSE),0)</f>
        <v>0</v>
      </c>
      <c r="X33">
        <f>IFERROR(VLOOKUP($E33,Adaptive!$A:$J,MATCH(X$8,Adaptive!$4:$4,0),FALSE),0)</f>
        <v>0</v>
      </c>
      <c r="Y33" s="6">
        <f t="shared" si="3"/>
        <v>1738.8127853881258</v>
      </c>
      <c r="Z33" s="6" t="str">
        <f>_xlfn.XLOOKUP(B33,[1]Xref!$H:$H,[1]Xref!$A:$A)</f>
        <v>AU5429D</v>
      </c>
      <c r="AA33" s="6">
        <f t="shared" si="4"/>
        <v>0</v>
      </c>
      <c r="AB33" s="10">
        <f t="shared" si="5"/>
        <v>0</v>
      </c>
      <c r="AC33">
        <f t="shared" si="6"/>
        <v>0</v>
      </c>
      <c r="AM33">
        <f t="shared" si="7"/>
        <v>0</v>
      </c>
      <c r="AN33">
        <f t="shared" si="8"/>
        <v>0</v>
      </c>
    </row>
    <row r="34" spans="1:40">
      <c r="A34">
        <v>50</v>
      </c>
      <c r="B34">
        <v>234060</v>
      </c>
      <c r="C34" t="s">
        <v>141</v>
      </c>
      <c r="D34" t="s">
        <v>142</v>
      </c>
      <c r="E34" t="s">
        <v>143</v>
      </c>
      <c r="F34">
        <v>2.72</v>
      </c>
      <c r="I34">
        <v>0</v>
      </c>
      <c r="J34">
        <v>0</v>
      </c>
      <c r="K34">
        <v>0</v>
      </c>
      <c r="L34">
        <v>1936</v>
      </c>
      <c r="M34">
        <v>0</v>
      </c>
      <c r="N34">
        <v>0</v>
      </c>
      <c r="O34">
        <v>0</v>
      </c>
      <c r="P34">
        <v>1936</v>
      </c>
      <c r="Q34">
        <f>IFERROR(VLOOKUP($E34,Adaptive!$A:$J,MATCH(Q$8,Adaptive!$4:$4,0),FALSE),0)</f>
        <v>0</v>
      </c>
      <c r="R34">
        <f>IFERROR(VLOOKUP($E34,Adaptive!$A:$J,MATCH(R$8,Adaptive!$4:$4,0),FALSE),0)</f>
        <v>0</v>
      </c>
      <c r="S34">
        <f>IFERROR(VLOOKUP($E34,Adaptive!$A:$J,MATCH(S$8,Adaptive!$4:$4,0),FALSE),0)</f>
        <v>0</v>
      </c>
      <c r="T34">
        <f>IFERROR(VLOOKUP($E34,Adaptive!$A:$J,MATCH(T$8,Adaptive!$4:$4,0),FALSE),0)</f>
        <v>0</v>
      </c>
      <c r="U34">
        <f>IFERROR(VLOOKUP($E34,Adaptive!$A:$J,MATCH(U$8,Adaptive!$4:$4,0),FALSE),0)</f>
        <v>0</v>
      </c>
      <c r="V34">
        <f>IFERROR(VLOOKUP($E34,Adaptive!$A:$J,MATCH(V$8,Adaptive!$4:$4,0),FALSE),0)</f>
        <v>0</v>
      </c>
      <c r="W34">
        <f>IFERROR(VLOOKUP($E34,Adaptive!$A:$J,MATCH(W$8,Adaptive!$4:$4,0),FALSE),0)</f>
        <v>0</v>
      </c>
      <c r="X34">
        <f>IFERROR(VLOOKUP($E34,Adaptive!$A:$J,MATCH(X$8,Adaptive!$4:$4,0),FALSE),0)</f>
        <v>0</v>
      </c>
      <c r="Y34" s="6">
        <f t="shared" si="3"/>
        <v>1904.0000000000002</v>
      </c>
      <c r="Z34" s="6" t="str">
        <f>_xlfn.XLOOKUP(B34,[1]Xref!$H:$H,[1]Xref!$A:$A)</f>
        <v>AU4583 210</v>
      </c>
      <c r="AA34" s="6">
        <f t="shared" si="4"/>
        <v>1936</v>
      </c>
      <c r="AB34" s="10">
        <f t="shared" si="5"/>
        <v>2</v>
      </c>
      <c r="AC34">
        <f t="shared" si="6"/>
        <v>2</v>
      </c>
      <c r="AM34">
        <f t="shared" si="7"/>
        <v>0</v>
      </c>
      <c r="AN34">
        <f t="shared" si="8"/>
        <v>1400</v>
      </c>
    </row>
    <row r="35" spans="1:40">
      <c r="A35">
        <v>50</v>
      </c>
      <c r="B35">
        <v>234794</v>
      </c>
      <c r="C35" t="s">
        <v>144</v>
      </c>
      <c r="D35" t="s">
        <v>145</v>
      </c>
      <c r="E35" t="s">
        <v>146</v>
      </c>
      <c r="F35" s="19" t="s">
        <v>147</v>
      </c>
      <c r="G35">
        <v>304</v>
      </c>
      <c r="I35">
        <v>1020</v>
      </c>
      <c r="J35">
        <v>0</v>
      </c>
      <c r="K35">
        <v>6254</v>
      </c>
      <c r="L35">
        <v>0</v>
      </c>
      <c r="M35">
        <v>716</v>
      </c>
      <c r="N35">
        <v>0</v>
      </c>
      <c r="O35">
        <v>6254</v>
      </c>
      <c r="P35">
        <v>0</v>
      </c>
      <c r="Q35">
        <f>IFERROR(VLOOKUP($E35,Adaptive!$A:$J,MATCH(Q$8,Adaptive!$4:$4,0),FALSE),0)</f>
        <v>0</v>
      </c>
      <c r="R35">
        <f>IFERROR(VLOOKUP($E35,Adaptive!$A:$J,MATCH(R$8,Adaptive!$4:$4,0),FALSE),0)</f>
        <v>0</v>
      </c>
      <c r="S35">
        <f>IFERROR(VLOOKUP($E35,Adaptive!$A:$J,MATCH(S$8,Adaptive!$4:$4,0),FALSE),0)</f>
        <v>0</v>
      </c>
      <c r="T35">
        <f>IFERROR(VLOOKUP($E35,Adaptive!$A:$J,MATCH(T$8,Adaptive!$4:$4,0),FALSE),0)</f>
        <v>0</v>
      </c>
      <c r="U35">
        <f>IFERROR(VLOOKUP($E35,Adaptive!$A:$J,MATCH(U$8,Adaptive!$4:$4,0),FALSE),0)</f>
        <v>0</v>
      </c>
      <c r="V35">
        <f>IFERROR(VLOOKUP($E35,Adaptive!$A:$J,MATCH(V$8,Adaptive!$4:$4,0),FALSE),0)</f>
        <v>0</v>
      </c>
      <c r="W35">
        <f>IFERROR(VLOOKUP($E35,Adaptive!$A:$J,MATCH(W$8,Adaptive!$4:$4,0),FALSE),0)</f>
        <v>0</v>
      </c>
      <c r="X35">
        <f>IFERROR(VLOOKUP($E35,Adaptive!$A:$J,MATCH(X$8,Adaptive!$4:$4,0),FALSE),0)</f>
        <v>0</v>
      </c>
      <c r="Y35" s="6">
        <f t="shared" si="3"/>
        <v>1420.895522388055</v>
      </c>
      <c r="Z35" s="6" t="str">
        <f>_xlfn.XLOOKUP(B35,[1]Xref!$H:$H,[1]Xref!$A:$A)</f>
        <v>AU4583</v>
      </c>
      <c r="AA35" s="6">
        <f t="shared" si="4"/>
        <v>6970</v>
      </c>
      <c r="AB35" s="10">
        <f t="shared" si="5"/>
        <v>5</v>
      </c>
      <c r="AC35">
        <f t="shared" si="6"/>
        <v>5</v>
      </c>
      <c r="AM35">
        <f t="shared" si="7"/>
        <v>0</v>
      </c>
      <c r="AN35">
        <f t="shared" si="8"/>
        <v>3500</v>
      </c>
    </row>
    <row r="36" spans="1:40">
      <c r="A36">
        <v>50</v>
      </c>
      <c r="B36">
        <v>234795</v>
      </c>
      <c r="C36" t="s">
        <v>148</v>
      </c>
      <c r="D36" t="s">
        <v>149</v>
      </c>
      <c r="E36" t="s">
        <v>150</v>
      </c>
      <c r="F36" s="19" t="s">
        <v>151</v>
      </c>
      <c r="G36">
        <v>1573</v>
      </c>
      <c r="H36">
        <v>19122</v>
      </c>
      <c r="I36">
        <v>0</v>
      </c>
      <c r="J36">
        <v>20662</v>
      </c>
      <c r="K36">
        <v>0</v>
      </c>
      <c r="L36">
        <v>25970</v>
      </c>
      <c r="M36">
        <v>0</v>
      </c>
      <c r="N36">
        <v>0</v>
      </c>
      <c r="O36">
        <v>0</v>
      </c>
      <c r="P36">
        <v>25937</v>
      </c>
      <c r="Q36">
        <f>IFERROR(VLOOKUP($E36,Adaptive!$A:$J,MATCH(Q$8,Adaptive!$4:$4,0),FALSE),0)</f>
        <v>10822</v>
      </c>
      <c r="R36">
        <f>IFERROR(VLOOKUP($E36,Adaptive!$A:$J,MATCH(R$8,Adaptive!$4:$4,0),FALSE),0)</f>
        <v>0</v>
      </c>
      <c r="S36">
        <f>IFERROR(VLOOKUP($E36,Adaptive!$A:$J,MATCH(S$8,Adaptive!$4:$4,0),FALSE),0)</f>
        <v>8300</v>
      </c>
      <c r="T36">
        <f>IFERROR(VLOOKUP($E36,Adaptive!$A:$J,MATCH(T$8,Adaptive!$4:$4,0),FALSE),0)</f>
        <v>0</v>
      </c>
      <c r="U36">
        <f>IFERROR(VLOOKUP($E36,Adaptive!$A:$J,MATCH(U$8,Adaptive!$4:$4,0),FALSE),0)</f>
        <v>19122</v>
      </c>
      <c r="V36">
        <f>IFERROR(VLOOKUP($E36,Adaptive!$A:$J,MATCH(V$8,Adaptive!$4:$4,0),FALSE),0)</f>
        <v>0</v>
      </c>
      <c r="W36">
        <f>IFERROR(VLOOKUP($E36,Adaptive!$A:$J,MATCH(W$8,Adaptive!$4:$4,0),FALSE),0)</f>
        <v>0</v>
      </c>
      <c r="X36">
        <f>IFERROR(VLOOKUP($E36,Adaptive!$A:$J,MATCH(X$8,Adaptive!$4:$4,0),FALSE),0)</f>
        <v>0</v>
      </c>
      <c r="Y36" s="6">
        <f t="shared" si="3"/>
        <v>1866.666666666662</v>
      </c>
      <c r="Z36" s="6" t="str">
        <f>_xlfn.XLOOKUP(B36,[1]Xref!$H:$H,[1]Xref!$A:$A)</f>
        <v>AU5429D</v>
      </c>
      <c r="AA36" s="6">
        <f t="shared" si="4"/>
        <v>25937</v>
      </c>
      <c r="AB36" s="10">
        <f t="shared" si="5"/>
        <v>14</v>
      </c>
      <c r="AC36">
        <f t="shared" si="6"/>
        <v>14</v>
      </c>
      <c r="AM36">
        <f t="shared" si="7"/>
        <v>0</v>
      </c>
      <c r="AN36">
        <f t="shared" si="8"/>
        <v>9800</v>
      </c>
    </row>
    <row r="37" spans="1:40">
      <c r="A37" s="10">
        <v>50</v>
      </c>
      <c r="B37" s="10">
        <v>234918</v>
      </c>
      <c r="C37" t="s">
        <v>152</v>
      </c>
      <c r="D37" t="s">
        <v>153</v>
      </c>
      <c r="E37" t="s">
        <v>154</v>
      </c>
      <c r="F37" s="19" t="s">
        <v>155</v>
      </c>
      <c r="H37">
        <v>2202</v>
      </c>
      <c r="I37">
        <v>0</v>
      </c>
      <c r="J37">
        <v>843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f>IFERROR(VLOOKUP($E37,Adaptive!$A:$J,MATCH(Q$8,Adaptive!$4:$4,0),FALSE),0)</f>
        <v>0</v>
      </c>
      <c r="R37">
        <f>IFERROR(VLOOKUP($E37,Adaptive!$A:$J,MATCH(R$8,Adaptive!$4:$4,0),FALSE),0)</f>
        <v>2202</v>
      </c>
      <c r="S37">
        <f>IFERROR(VLOOKUP($E37,Adaptive!$A:$J,MATCH(S$8,Adaptive!$4:$4,0),FALSE),0)</f>
        <v>0</v>
      </c>
      <c r="T37">
        <f>IFERROR(VLOOKUP($E37,Adaptive!$A:$J,MATCH(T$8,Adaptive!$4:$4,0),FALSE),0)</f>
        <v>0</v>
      </c>
      <c r="U37">
        <f>IFERROR(VLOOKUP($E37,Adaptive!$A:$J,MATCH(U$8,Adaptive!$4:$4,0),FALSE),0)</f>
        <v>2202</v>
      </c>
      <c r="V37">
        <f>IFERROR(VLOOKUP($E37,Adaptive!$A:$J,MATCH(V$8,Adaptive!$4:$4,0),FALSE),0)</f>
        <v>0</v>
      </c>
      <c r="W37">
        <f>IFERROR(VLOOKUP($E37,Adaptive!$A:$J,MATCH(W$8,Adaptive!$4:$4,0),FALSE),0)</f>
        <v>0</v>
      </c>
      <c r="X37">
        <f>IFERROR(VLOOKUP($E37,Adaptive!$A:$J,MATCH(X$8,Adaptive!$4:$4,0),FALSE),0)</f>
        <v>0</v>
      </c>
      <c r="Y37" s="6">
        <f t="shared" si="3"/>
        <v>2014.8148148148091</v>
      </c>
      <c r="Z37" s="6" t="str">
        <f>_xlfn.XLOOKUP(B37,[1]Xref!$H:$H,[1]Xref!$A:$A)</f>
        <v>AU5429D</v>
      </c>
      <c r="AA37" s="6">
        <f t="shared" si="4"/>
        <v>0</v>
      </c>
      <c r="AB37" s="10">
        <f t="shared" si="5"/>
        <v>0</v>
      </c>
      <c r="AC37">
        <f t="shared" si="6"/>
        <v>0</v>
      </c>
      <c r="AM37">
        <f t="shared" si="7"/>
        <v>0</v>
      </c>
      <c r="AN37">
        <f t="shared" si="8"/>
        <v>0</v>
      </c>
    </row>
    <row r="38" spans="1:40">
      <c r="A38" s="10">
        <v>12</v>
      </c>
      <c r="B38" s="10">
        <v>235397</v>
      </c>
      <c r="C38" t="s">
        <v>156</v>
      </c>
      <c r="D38" t="s">
        <v>157</v>
      </c>
      <c r="E38" t="s">
        <v>158</v>
      </c>
      <c r="F38" s="19" t="s">
        <v>65</v>
      </c>
      <c r="G38">
        <v>2248</v>
      </c>
      <c r="I38">
        <v>1239</v>
      </c>
      <c r="J38">
        <v>440</v>
      </c>
      <c r="M38">
        <v>0</v>
      </c>
      <c r="N38">
        <v>0</v>
      </c>
      <c r="O38">
        <v>0</v>
      </c>
      <c r="P38">
        <v>0</v>
      </c>
      <c r="Q38">
        <f>IFERROR(VLOOKUP($E38,Adaptive!$A:$J,MATCH(Q$8,Adaptive!$4:$4,0),FALSE),0)</f>
        <v>0</v>
      </c>
      <c r="R38">
        <f>IFERROR(VLOOKUP($E38,Adaptive!$A:$J,MATCH(R$8,Adaptive!$4:$4,0),FALSE),0)</f>
        <v>0</v>
      </c>
      <c r="S38">
        <f>IFERROR(VLOOKUP($E38,Adaptive!$A:$J,MATCH(S$8,Adaptive!$4:$4,0),FALSE),0)</f>
        <v>0</v>
      </c>
      <c r="T38">
        <f>IFERROR(VLOOKUP($E38,Adaptive!$A:$J,MATCH(T$8,Adaptive!$4:$4,0),FALSE),0)</f>
        <v>0</v>
      </c>
      <c r="U38">
        <f>IFERROR(VLOOKUP($E38,Adaptive!$A:$J,MATCH(U$8,Adaptive!$4:$4,0),FALSE),0)</f>
        <v>0</v>
      </c>
      <c r="V38">
        <f>IFERROR(VLOOKUP($E38,Adaptive!$A:$J,MATCH(V$8,Adaptive!$4:$4,0),FALSE),0)</f>
        <v>0</v>
      </c>
      <c r="W38">
        <f>IFERROR(VLOOKUP($E38,Adaptive!$A:$J,MATCH(W$8,Adaptive!$4:$4,0),FALSE),0)</f>
        <v>0</v>
      </c>
      <c r="X38">
        <f>IFERROR(VLOOKUP($E38,Adaptive!$A:$J,MATCH(X$8,Adaptive!$4:$4,0),FALSE),0)</f>
        <v>0</v>
      </c>
      <c r="Y38" s="6">
        <f t="shared" si="3"/>
        <v>1842.5806451612841</v>
      </c>
      <c r="Z38" s="6" t="str">
        <f>_xlfn.XLOOKUP(B38,[1]Xref!$H:$H,[1]Xref!$A:$A)</f>
        <v>AU3426</v>
      </c>
      <c r="AA38" s="6">
        <f t="shared" si="4"/>
        <v>0</v>
      </c>
      <c r="AB38" s="10">
        <f t="shared" si="5"/>
        <v>0</v>
      </c>
      <c r="AC38">
        <f t="shared" si="6"/>
        <v>0</v>
      </c>
      <c r="AM38">
        <f t="shared" si="7"/>
        <v>0</v>
      </c>
      <c r="AN38">
        <f t="shared" si="8"/>
        <v>0</v>
      </c>
    </row>
    <row r="39" spans="1:40">
      <c r="A39" s="10">
        <v>50</v>
      </c>
      <c r="B39" s="10">
        <v>236592</v>
      </c>
      <c r="C39" t="s">
        <v>159</v>
      </c>
      <c r="D39" t="s">
        <v>160</v>
      </c>
      <c r="E39" t="s">
        <v>161</v>
      </c>
      <c r="F39" s="19" t="s">
        <v>151</v>
      </c>
      <c r="G39">
        <v>297</v>
      </c>
      <c r="I39">
        <v>0</v>
      </c>
      <c r="J39">
        <v>0</v>
      </c>
      <c r="K39">
        <v>0</v>
      </c>
      <c r="L39">
        <v>575</v>
      </c>
      <c r="M39">
        <v>0</v>
      </c>
      <c r="N39">
        <v>0</v>
      </c>
      <c r="O39">
        <v>0</v>
      </c>
      <c r="P39">
        <v>0</v>
      </c>
      <c r="Q39">
        <f>IFERROR(VLOOKUP($E39,Adaptive!$A:$J,MATCH(Q$8,Adaptive!$4:$4,0),FALSE),0)</f>
        <v>0</v>
      </c>
      <c r="R39">
        <f>IFERROR(VLOOKUP($E39,Adaptive!$A:$J,MATCH(R$8,Adaptive!$4:$4,0),FALSE),0)</f>
        <v>0</v>
      </c>
      <c r="S39">
        <f>IFERROR(VLOOKUP($E39,Adaptive!$A:$J,MATCH(S$8,Adaptive!$4:$4,0),FALSE),0)</f>
        <v>0</v>
      </c>
      <c r="T39">
        <f>IFERROR(VLOOKUP($E39,Adaptive!$A:$J,MATCH(T$8,Adaptive!$4:$4,0),FALSE),0)</f>
        <v>0</v>
      </c>
      <c r="U39">
        <f>IFERROR(VLOOKUP($E39,Adaptive!$A:$J,MATCH(U$8,Adaptive!$4:$4,0),FALSE),0)</f>
        <v>0</v>
      </c>
      <c r="V39">
        <f>IFERROR(VLOOKUP($E39,Adaptive!$A:$J,MATCH(V$8,Adaptive!$4:$4,0),FALSE),0)</f>
        <v>0</v>
      </c>
      <c r="W39">
        <f>IFERROR(VLOOKUP($E39,Adaptive!$A:$J,MATCH(W$8,Adaptive!$4:$4,0),FALSE),0)</f>
        <v>0</v>
      </c>
      <c r="X39">
        <f>IFERROR(VLOOKUP($E39,Adaptive!$A:$J,MATCH(X$8,Adaptive!$4:$4,0),FALSE),0)</f>
        <v>0</v>
      </c>
      <c r="Y39" s="6">
        <f t="shared" si="3"/>
        <v>1866.666666666662</v>
      </c>
      <c r="Z39" s="6" t="str">
        <f>_xlfn.XLOOKUP(B39,[1]Xref!$H:$H,[1]Xref!$A:$A)</f>
        <v>AU5429D</v>
      </c>
      <c r="AA39" s="6">
        <f t="shared" si="4"/>
        <v>0</v>
      </c>
      <c r="AB39" s="10">
        <f t="shared" si="5"/>
        <v>0</v>
      </c>
      <c r="AC39">
        <f t="shared" si="6"/>
        <v>0</v>
      </c>
      <c r="AM39">
        <f t="shared" si="7"/>
        <v>0</v>
      </c>
      <c r="AN39">
        <f t="shared" si="8"/>
        <v>0</v>
      </c>
    </row>
    <row r="40" spans="1:40">
      <c r="A40">
        <v>50</v>
      </c>
      <c r="B40">
        <v>237033</v>
      </c>
      <c r="C40" t="s">
        <v>162</v>
      </c>
      <c r="D40" t="s">
        <v>163</v>
      </c>
      <c r="E40" t="s">
        <v>164</v>
      </c>
      <c r="F40" s="19" t="s">
        <v>147</v>
      </c>
      <c r="I40">
        <v>0</v>
      </c>
      <c r="J40">
        <v>0</v>
      </c>
      <c r="K40">
        <v>742</v>
      </c>
      <c r="L40">
        <v>0</v>
      </c>
      <c r="M40">
        <v>0</v>
      </c>
      <c r="N40">
        <v>0</v>
      </c>
      <c r="O40">
        <v>742</v>
      </c>
      <c r="P40">
        <v>0</v>
      </c>
      <c r="Q40">
        <f>IFERROR(VLOOKUP($E40,Adaptive!$A:$J,MATCH(Q$8,Adaptive!$4:$4,0),FALSE),0)</f>
        <v>0</v>
      </c>
      <c r="R40">
        <f>IFERROR(VLOOKUP($E40,Adaptive!$A:$J,MATCH(R$8,Adaptive!$4:$4,0),FALSE),0)</f>
        <v>0</v>
      </c>
      <c r="S40">
        <f>IFERROR(VLOOKUP($E40,Adaptive!$A:$J,MATCH(S$8,Adaptive!$4:$4,0),FALSE),0)</f>
        <v>0</v>
      </c>
      <c r="T40">
        <f>IFERROR(VLOOKUP($E40,Adaptive!$A:$J,MATCH(T$8,Adaptive!$4:$4,0),FALSE),0)</f>
        <v>0</v>
      </c>
      <c r="U40">
        <f>IFERROR(VLOOKUP($E40,Adaptive!$A:$J,MATCH(U$8,Adaptive!$4:$4,0),FALSE),0)</f>
        <v>0</v>
      </c>
      <c r="V40">
        <f>IFERROR(VLOOKUP($E40,Adaptive!$A:$J,MATCH(V$8,Adaptive!$4:$4,0),FALSE),0)</f>
        <v>0</v>
      </c>
      <c r="W40">
        <f>IFERROR(VLOOKUP($E40,Adaptive!$A:$J,MATCH(W$8,Adaptive!$4:$4,0),FALSE),0)</f>
        <v>0</v>
      </c>
      <c r="X40">
        <f>IFERROR(VLOOKUP($E40,Adaptive!$A:$J,MATCH(X$8,Adaptive!$4:$4,0),FALSE),0)</f>
        <v>0</v>
      </c>
      <c r="Y40" s="6">
        <f t="shared" si="3"/>
        <v>1420.895522388055</v>
      </c>
      <c r="Z40" s="6" t="str">
        <f>_xlfn.XLOOKUP(B40,[1]Xref!$H:$H,[1]Xref!$A:$A)</f>
        <v>AU4583</v>
      </c>
      <c r="AA40" s="6">
        <f t="shared" ref="AA40:AA71" si="9">SUM(M40:P40)</f>
        <v>742</v>
      </c>
      <c r="AB40" s="10">
        <f t="shared" ref="AB40:AB71" si="10">ROUNDUP(AA40/Y40,0)</f>
        <v>1</v>
      </c>
      <c r="AC40">
        <f t="shared" ref="AC40:AC71" si="11">AB40-SUMPRODUCT(AE40:AL40,$AE$6:$AL$6)</f>
        <v>1</v>
      </c>
      <c r="AM40">
        <f t="shared" si="7"/>
        <v>0</v>
      </c>
      <c r="AN40">
        <f t="shared" si="8"/>
        <v>700</v>
      </c>
    </row>
    <row r="41" spans="1:40">
      <c r="A41" s="10">
        <v>50</v>
      </c>
      <c r="B41" s="10">
        <v>237038</v>
      </c>
      <c r="C41" t="s">
        <v>165</v>
      </c>
      <c r="D41" t="s">
        <v>166</v>
      </c>
      <c r="E41" t="s">
        <v>167</v>
      </c>
      <c r="F41" s="19" t="s">
        <v>168</v>
      </c>
      <c r="G41">
        <v>2104</v>
      </c>
      <c r="I41">
        <v>872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f>IFERROR(VLOOKUP($E41,Adaptive!$A:$J,MATCH(Q$8,Adaptive!$4:$4,0),FALSE),0)</f>
        <v>0</v>
      </c>
      <c r="R41">
        <f>IFERROR(VLOOKUP($E41,Adaptive!$A:$J,MATCH(R$8,Adaptive!$4:$4,0),FALSE),0)</f>
        <v>0</v>
      </c>
      <c r="S41">
        <f>IFERROR(VLOOKUP($E41,Adaptive!$A:$J,MATCH(S$8,Adaptive!$4:$4,0),FALSE),0)</f>
        <v>0</v>
      </c>
      <c r="T41">
        <f>IFERROR(VLOOKUP($E41,Adaptive!$A:$J,MATCH(T$8,Adaptive!$4:$4,0),FALSE),0)</f>
        <v>0</v>
      </c>
      <c r="U41">
        <f>IFERROR(VLOOKUP($E41,Adaptive!$A:$J,MATCH(U$8,Adaptive!$4:$4,0),FALSE),0)</f>
        <v>0</v>
      </c>
      <c r="V41">
        <f>IFERROR(VLOOKUP($E41,Adaptive!$A:$J,MATCH(V$8,Adaptive!$4:$4,0),FALSE),0)</f>
        <v>0</v>
      </c>
      <c r="W41">
        <f>IFERROR(VLOOKUP($E41,Adaptive!$A:$J,MATCH(W$8,Adaptive!$4:$4,0),FALSE),0)</f>
        <v>0</v>
      </c>
      <c r="X41">
        <f>IFERROR(VLOOKUP($E41,Adaptive!$A:$J,MATCH(X$8,Adaptive!$4:$4,0),FALSE),0)</f>
        <v>0</v>
      </c>
      <c r="Y41" s="6">
        <f t="shared" ref="Y41:Y72" si="12">F41*700</f>
        <v>1952.8205128205059</v>
      </c>
      <c r="Z41" s="6" t="str">
        <f>_xlfn.XLOOKUP(B41,[1]Xref!$H:$H,[1]Xref!$A:$A)</f>
        <v>AU6953</v>
      </c>
      <c r="AA41" s="6">
        <f t="shared" si="9"/>
        <v>0</v>
      </c>
      <c r="AB41" s="10">
        <f t="shared" si="10"/>
        <v>0</v>
      </c>
      <c r="AC41">
        <f t="shared" si="11"/>
        <v>0</v>
      </c>
      <c r="AM41">
        <f t="shared" si="7"/>
        <v>0</v>
      </c>
      <c r="AN41">
        <f t="shared" si="8"/>
        <v>0</v>
      </c>
    </row>
    <row r="42" spans="1:40">
      <c r="A42" s="10">
        <v>50</v>
      </c>
      <c r="B42" s="10">
        <v>237039</v>
      </c>
      <c r="C42" t="s">
        <v>169</v>
      </c>
      <c r="D42" t="s">
        <v>170</v>
      </c>
      <c r="E42" t="s">
        <v>171</v>
      </c>
      <c r="F42" s="19" t="s">
        <v>168</v>
      </c>
      <c r="I42">
        <v>504</v>
      </c>
      <c r="J42">
        <v>0</v>
      </c>
      <c r="K42">
        <v>0</v>
      </c>
      <c r="L42">
        <v>636</v>
      </c>
      <c r="M42">
        <v>504</v>
      </c>
      <c r="N42">
        <v>0</v>
      </c>
      <c r="O42">
        <v>0</v>
      </c>
      <c r="P42">
        <v>636</v>
      </c>
      <c r="Q42">
        <f>IFERROR(VLOOKUP($E42,Adaptive!$A:$J,MATCH(Q$8,Adaptive!$4:$4,0),FALSE),0)</f>
        <v>0</v>
      </c>
      <c r="R42">
        <f>IFERROR(VLOOKUP($E42,Adaptive!$A:$J,MATCH(R$8,Adaptive!$4:$4,0),FALSE),0)</f>
        <v>0</v>
      </c>
      <c r="S42">
        <f>IFERROR(VLOOKUP($E42,Adaptive!$A:$J,MATCH(S$8,Adaptive!$4:$4,0),FALSE),0)</f>
        <v>0</v>
      </c>
      <c r="T42">
        <f>IFERROR(VLOOKUP($E42,Adaptive!$A:$J,MATCH(T$8,Adaptive!$4:$4,0),FALSE),0)</f>
        <v>0</v>
      </c>
      <c r="U42">
        <f>IFERROR(VLOOKUP($E42,Adaptive!$A:$J,MATCH(U$8,Adaptive!$4:$4,0),FALSE),0)</f>
        <v>0</v>
      </c>
      <c r="V42">
        <f>IFERROR(VLOOKUP($E42,Adaptive!$A:$J,MATCH(V$8,Adaptive!$4:$4,0),FALSE),0)</f>
        <v>0</v>
      </c>
      <c r="W42">
        <f>IFERROR(VLOOKUP($E42,Adaptive!$A:$J,MATCH(W$8,Adaptive!$4:$4,0),FALSE),0)</f>
        <v>0</v>
      </c>
      <c r="X42">
        <f>IFERROR(VLOOKUP($E42,Adaptive!$A:$J,MATCH(X$8,Adaptive!$4:$4,0),FALSE),0)</f>
        <v>0</v>
      </c>
      <c r="Y42" s="6">
        <f t="shared" si="12"/>
        <v>1952.8205128205059</v>
      </c>
      <c r="Z42" s="6" t="str">
        <f>_xlfn.XLOOKUP(B42,[1]Xref!$H:$H,[1]Xref!$A:$A)</f>
        <v>AU7130</v>
      </c>
      <c r="AA42" s="6">
        <f t="shared" si="9"/>
        <v>1140</v>
      </c>
      <c r="AB42" s="10">
        <f t="shared" si="10"/>
        <v>1</v>
      </c>
      <c r="AC42">
        <f t="shared" si="11"/>
        <v>0</v>
      </c>
      <c r="AG42">
        <v>1</v>
      </c>
      <c r="AM42">
        <f t="shared" si="7"/>
        <v>700</v>
      </c>
      <c r="AN42">
        <f t="shared" si="8"/>
        <v>0</v>
      </c>
    </row>
    <row r="43" spans="1:40">
      <c r="A43" s="10">
        <v>1250</v>
      </c>
      <c r="B43" s="10">
        <v>237234</v>
      </c>
      <c r="C43" t="s">
        <v>172</v>
      </c>
      <c r="D43" t="s">
        <v>173</v>
      </c>
      <c r="E43" t="s">
        <v>174</v>
      </c>
      <c r="F43" s="19" t="s">
        <v>168</v>
      </c>
      <c r="H43">
        <v>1650</v>
      </c>
      <c r="I43">
        <v>189</v>
      </c>
      <c r="M43">
        <v>0</v>
      </c>
      <c r="N43">
        <v>0</v>
      </c>
      <c r="O43">
        <v>0</v>
      </c>
      <c r="P43">
        <v>0</v>
      </c>
      <c r="Q43">
        <f>IFERROR(VLOOKUP($E43,Adaptive!$A:$J,MATCH(Q$8,Adaptive!$4:$4,0),FALSE),0)</f>
        <v>0</v>
      </c>
      <c r="R43">
        <f>IFERROR(VLOOKUP($E43,Adaptive!$A:$J,MATCH(R$8,Adaptive!$4:$4,0),FALSE),0)</f>
        <v>1650</v>
      </c>
      <c r="S43">
        <f>IFERROR(VLOOKUP($E43,Adaptive!$A:$J,MATCH(S$8,Adaptive!$4:$4,0),FALSE),0)</f>
        <v>0</v>
      </c>
      <c r="T43">
        <f>IFERROR(VLOOKUP($E43,Adaptive!$A:$J,MATCH(T$8,Adaptive!$4:$4,0),FALSE),0)</f>
        <v>0</v>
      </c>
      <c r="U43">
        <f>IFERROR(VLOOKUP($E43,Adaptive!$A:$J,MATCH(U$8,Adaptive!$4:$4,0),FALSE),0)</f>
        <v>1650</v>
      </c>
      <c r="V43">
        <f>IFERROR(VLOOKUP($E43,Adaptive!$A:$J,MATCH(V$8,Adaptive!$4:$4,0),FALSE),0)</f>
        <v>0</v>
      </c>
      <c r="W43">
        <f>IFERROR(VLOOKUP($E43,Adaptive!$A:$J,MATCH(W$8,Adaptive!$4:$4,0),FALSE),0)</f>
        <v>0</v>
      </c>
      <c r="X43">
        <f>IFERROR(VLOOKUP($E43,Adaptive!$A:$J,MATCH(X$8,Adaptive!$4:$4,0),FALSE),0)</f>
        <v>0</v>
      </c>
      <c r="Y43" s="6">
        <f t="shared" si="12"/>
        <v>1952.8205128205059</v>
      </c>
      <c r="Z43" s="6" t="str">
        <f>_xlfn.XLOOKUP(B43,[1]Xref!$H:$H,[1]Xref!$A:$A)</f>
        <v>AU6953</v>
      </c>
      <c r="AA43" s="6">
        <f t="shared" si="9"/>
        <v>0</v>
      </c>
      <c r="AB43" s="10">
        <f t="shared" si="10"/>
        <v>0</v>
      </c>
      <c r="AC43">
        <f t="shared" si="11"/>
        <v>0</v>
      </c>
      <c r="AM43">
        <f t="shared" si="7"/>
        <v>0</v>
      </c>
      <c r="AN43">
        <f t="shared" si="8"/>
        <v>0</v>
      </c>
    </row>
    <row r="44" spans="1:40">
      <c r="A44" s="10">
        <v>1250</v>
      </c>
      <c r="B44" s="10">
        <v>237235</v>
      </c>
      <c r="C44" t="s">
        <v>175</v>
      </c>
      <c r="D44" t="s">
        <v>176</v>
      </c>
      <c r="E44" t="s">
        <v>177</v>
      </c>
      <c r="F44" s="19" t="s">
        <v>168</v>
      </c>
      <c r="G44">
        <v>2417</v>
      </c>
      <c r="I44">
        <v>7401</v>
      </c>
      <c r="J44">
        <v>0</v>
      </c>
      <c r="K44">
        <v>0</v>
      </c>
      <c r="L44">
        <v>0</v>
      </c>
      <c r="M44">
        <v>4984</v>
      </c>
      <c r="N44">
        <v>0</v>
      </c>
      <c r="O44">
        <v>0</v>
      </c>
      <c r="P44">
        <v>0</v>
      </c>
      <c r="Q44">
        <f>IFERROR(VLOOKUP($E44,Adaptive!$A:$J,MATCH(Q$8,Adaptive!$4:$4,0),FALSE),0)</f>
        <v>0</v>
      </c>
      <c r="R44">
        <f>IFERROR(VLOOKUP($E44,Adaptive!$A:$J,MATCH(R$8,Adaptive!$4:$4,0),FALSE),0)</f>
        <v>0</v>
      </c>
      <c r="S44">
        <f>IFERROR(VLOOKUP($E44,Adaptive!$A:$J,MATCH(S$8,Adaptive!$4:$4,0),FALSE),0)</f>
        <v>0</v>
      </c>
      <c r="T44">
        <f>IFERROR(VLOOKUP($E44,Adaptive!$A:$J,MATCH(T$8,Adaptive!$4:$4,0),FALSE),0)</f>
        <v>0</v>
      </c>
      <c r="U44">
        <f>IFERROR(VLOOKUP($E44,Adaptive!$A:$J,MATCH(U$8,Adaptive!$4:$4,0),FALSE),0)</f>
        <v>0</v>
      </c>
      <c r="V44">
        <f>IFERROR(VLOOKUP($E44,Adaptive!$A:$J,MATCH(V$8,Adaptive!$4:$4,0),FALSE),0)</f>
        <v>0</v>
      </c>
      <c r="W44">
        <f>IFERROR(VLOOKUP($E44,Adaptive!$A:$J,MATCH(W$8,Adaptive!$4:$4,0),FALSE),0)</f>
        <v>0</v>
      </c>
      <c r="X44">
        <f>IFERROR(VLOOKUP($E44,Adaptive!$A:$J,MATCH(X$8,Adaptive!$4:$4,0),FALSE),0)</f>
        <v>0</v>
      </c>
      <c r="Y44" s="6">
        <f t="shared" si="12"/>
        <v>1952.8205128205059</v>
      </c>
      <c r="Z44" s="6" t="str">
        <f>_xlfn.XLOOKUP(B44,[1]Xref!$H:$H,[1]Xref!$A:$A)</f>
        <v>AU6953</v>
      </c>
      <c r="AA44" s="6">
        <f t="shared" si="9"/>
        <v>4984</v>
      </c>
      <c r="AB44" s="10">
        <f t="shared" si="10"/>
        <v>3</v>
      </c>
      <c r="AC44">
        <f t="shared" si="11"/>
        <v>-1</v>
      </c>
      <c r="AK44">
        <v>1</v>
      </c>
      <c r="AM44">
        <f t="shared" si="7"/>
        <v>2800</v>
      </c>
      <c r="AN44">
        <v>0</v>
      </c>
    </row>
    <row r="45" spans="1:40">
      <c r="A45" s="10">
        <v>50</v>
      </c>
      <c r="B45" s="10">
        <v>237236</v>
      </c>
      <c r="C45" t="s">
        <v>178</v>
      </c>
      <c r="D45" t="s">
        <v>179</v>
      </c>
      <c r="E45" t="s">
        <v>180</v>
      </c>
      <c r="F45" s="19" t="s">
        <v>168</v>
      </c>
      <c r="H45">
        <v>1902</v>
      </c>
      <c r="I45">
        <v>1390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f>IFERROR(VLOOKUP($E45,Adaptive!$A:$J,MATCH(Q$8,Adaptive!$4:$4,0),FALSE),0)</f>
        <v>0</v>
      </c>
      <c r="R45">
        <f>IFERROR(VLOOKUP($E45,Adaptive!$A:$J,MATCH(R$8,Adaptive!$4:$4,0),FALSE),0)</f>
        <v>0</v>
      </c>
      <c r="S45">
        <f>IFERROR(VLOOKUP($E45,Adaptive!$A:$J,MATCH(S$8,Adaptive!$4:$4,0),FALSE),0)</f>
        <v>1902</v>
      </c>
      <c r="T45">
        <f>IFERROR(VLOOKUP($E45,Adaptive!$A:$J,MATCH(T$8,Adaptive!$4:$4,0),FALSE),0)</f>
        <v>0</v>
      </c>
      <c r="U45">
        <f>IFERROR(VLOOKUP($E45,Adaptive!$A:$J,MATCH(U$8,Adaptive!$4:$4,0),FALSE),0)</f>
        <v>1902</v>
      </c>
      <c r="V45">
        <f>IFERROR(VLOOKUP($E45,Adaptive!$A:$J,MATCH(V$8,Adaptive!$4:$4,0),FALSE),0)</f>
        <v>0</v>
      </c>
      <c r="W45">
        <f>IFERROR(VLOOKUP($E45,Adaptive!$A:$J,MATCH(W$8,Adaptive!$4:$4,0),FALSE),0)</f>
        <v>0</v>
      </c>
      <c r="X45">
        <f>IFERROR(VLOOKUP($E45,Adaptive!$A:$J,MATCH(X$8,Adaptive!$4:$4,0),FALSE),0)</f>
        <v>0</v>
      </c>
      <c r="Y45" s="6">
        <f t="shared" si="12"/>
        <v>1952.8205128205059</v>
      </c>
      <c r="Z45" s="6" t="str">
        <f>_xlfn.XLOOKUP(B45,[1]Xref!$H:$H,[1]Xref!$A:$A)</f>
        <v>AU6953</v>
      </c>
      <c r="AA45" s="6">
        <f t="shared" si="9"/>
        <v>0</v>
      </c>
      <c r="AB45" s="10">
        <f t="shared" si="10"/>
        <v>0</v>
      </c>
      <c r="AC45">
        <f t="shared" si="11"/>
        <v>0</v>
      </c>
      <c r="AM45">
        <f t="shared" si="7"/>
        <v>0</v>
      </c>
      <c r="AN45">
        <f t="shared" si="8"/>
        <v>0</v>
      </c>
    </row>
    <row r="46" spans="1:40">
      <c r="A46">
        <v>50</v>
      </c>
      <c r="B46">
        <v>237237</v>
      </c>
      <c r="C46" t="s">
        <v>181</v>
      </c>
      <c r="D46" t="s">
        <v>182</v>
      </c>
      <c r="E46" t="s">
        <v>183</v>
      </c>
      <c r="F46" s="19" t="s">
        <v>168</v>
      </c>
      <c r="G46">
        <v>1040</v>
      </c>
      <c r="I46">
        <v>3059</v>
      </c>
      <c r="J46">
        <v>123</v>
      </c>
      <c r="K46">
        <v>1802</v>
      </c>
      <c r="L46">
        <v>0</v>
      </c>
      <c r="M46">
        <v>2019</v>
      </c>
      <c r="N46">
        <v>123</v>
      </c>
      <c r="O46">
        <v>1200</v>
      </c>
      <c r="P46">
        <v>0</v>
      </c>
      <c r="Q46">
        <f>IFERROR(VLOOKUP($E46,Adaptive!$A:$J,MATCH(Q$8,Adaptive!$4:$4,0),FALSE),0)</f>
        <v>0</v>
      </c>
      <c r="R46">
        <f>IFERROR(VLOOKUP($E46,Adaptive!$A:$J,MATCH(R$8,Adaptive!$4:$4,0),FALSE),0)</f>
        <v>0</v>
      </c>
      <c r="S46">
        <f>IFERROR(VLOOKUP($E46,Adaptive!$A:$J,MATCH(S$8,Adaptive!$4:$4,0),FALSE),0)</f>
        <v>0</v>
      </c>
      <c r="T46">
        <f>IFERROR(VLOOKUP($E46,Adaptive!$A:$J,MATCH(T$8,Adaptive!$4:$4,0),FALSE),0)</f>
        <v>0</v>
      </c>
      <c r="U46">
        <f>IFERROR(VLOOKUP($E46,Adaptive!$A:$J,MATCH(U$8,Adaptive!$4:$4,0),FALSE),0)</f>
        <v>0</v>
      </c>
      <c r="V46">
        <f>IFERROR(VLOOKUP($E46,Adaptive!$A:$J,MATCH(V$8,Adaptive!$4:$4,0),FALSE),0)</f>
        <v>0</v>
      </c>
      <c r="W46">
        <f>IFERROR(VLOOKUP($E46,Adaptive!$A:$J,MATCH(W$8,Adaptive!$4:$4,0),FALSE),0)</f>
        <v>0</v>
      </c>
      <c r="X46">
        <f>IFERROR(VLOOKUP($E46,Adaptive!$A:$J,MATCH(X$8,Adaptive!$4:$4,0),FALSE),0)</f>
        <v>0</v>
      </c>
      <c r="Y46" s="6">
        <f t="shared" si="12"/>
        <v>1952.8205128205059</v>
      </c>
      <c r="Z46" s="6" t="str">
        <f>_xlfn.XLOOKUP(B46,[1]Xref!$H:$H,[1]Xref!$A:$A)</f>
        <v>AU7130</v>
      </c>
      <c r="AA46" s="6">
        <f t="shared" si="9"/>
        <v>3342</v>
      </c>
      <c r="AB46" s="10">
        <f t="shared" si="10"/>
        <v>2</v>
      </c>
      <c r="AC46">
        <f t="shared" si="11"/>
        <v>2</v>
      </c>
      <c r="AM46">
        <f t="shared" si="7"/>
        <v>0</v>
      </c>
      <c r="AN46">
        <f t="shared" si="8"/>
        <v>1400</v>
      </c>
    </row>
    <row r="47" spans="1:40">
      <c r="A47" s="10">
        <v>12</v>
      </c>
      <c r="B47" s="10">
        <v>237362</v>
      </c>
      <c r="C47" t="s">
        <v>184</v>
      </c>
      <c r="D47" t="s">
        <v>185</v>
      </c>
      <c r="E47" t="s">
        <v>186</v>
      </c>
      <c r="F47" s="19" t="s">
        <v>187</v>
      </c>
      <c r="G47">
        <v>3578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f>IFERROR(VLOOKUP($E47,Adaptive!$A:$J,MATCH(Q$8,Adaptive!$4:$4,0),FALSE),0)</f>
        <v>0</v>
      </c>
      <c r="R47">
        <f>IFERROR(VLOOKUP($E47,Adaptive!$A:$J,MATCH(R$8,Adaptive!$4:$4,0),FALSE),0)</f>
        <v>0</v>
      </c>
      <c r="S47">
        <f>IFERROR(VLOOKUP($E47,Adaptive!$A:$J,MATCH(S$8,Adaptive!$4:$4,0),FALSE),0)</f>
        <v>0</v>
      </c>
      <c r="T47">
        <f>IFERROR(VLOOKUP($E47,Adaptive!$A:$J,MATCH(T$8,Adaptive!$4:$4,0),FALSE),0)</f>
        <v>0</v>
      </c>
      <c r="U47">
        <f>IFERROR(VLOOKUP($E47,Adaptive!$A:$J,MATCH(U$8,Adaptive!$4:$4,0),FALSE),0)</f>
        <v>0</v>
      </c>
      <c r="V47">
        <f>IFERROR(VLOOKUP($E47,Adaptive!$A:$J,MATCH(V$8,Adaptive!$4:$4,0),FALSE),0)</f>
        <v>0</v>
      </c>
      <c r="W47">
        <f>IFERROR(VLOOKUP($E47,Adaptive!$A:$J,MATCH(W$8,Adaptive!$4:$4,0),FALSE),0)</f>
        <v>0</v>
      </c>
      <c r="X47">
        <f>IFERROR(VLOOKUP($E47,Adaptive!$A:$J,MATCH(X$8,Adaptive!$4:$4,0),FALSE),0)</f>
        <v>0</v>
      </c>
      <c r="Y47" s="6">
        <f t="shared" si="12"/>
        <v>1727.4193548387091</v>
      </c>
      <c r="Z47" s="6" t="str">
        <f>_xlfn.XLOOKUP(B47,[1]Xref!$H:$H,[1]Xref!$A:$A)</f>
        <v>AU4782DREP</v>
      </c>
      <c r="AA47" s="6">
        <f t="shared" si="9"/>
        <v>0</v>
      </c>
      <c r="AB47" s="10">
        <f t="shared" si="10"/>
        <v>0</v>
      </c>
      <c r="AC47">
        <f t="shared" si="11"/>
        <v>0</v>
      </c>
      <c r="AM47">
        <f t="shared" si="7"/>
        <v>0</v>
      </c>
      <c r="AN47">
        <f t="shared" si="8"/>
        <v>0</v>
      </c>
    </row>
    <row r="48" spans="1:40">
      <c r="A48" s="10">
        <v>50</v>
      </c>
      <c r="B48" s="10">
        <v>237822</v>
      </c>
      <c r="C48" t="s">
        <v>188</v>
      </c>
      <c r="D48" t="s">
        <v>189</v>
      </c>
      <c r="E48" t="s">
        <v>190</v>
      </c>
      <c r="F48" s="19" t="s">
        <v>65</v>
      </c>
      <c r="G48">
        <v>301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f>IFERROR(VLOOKUP($E48,Adaptive!$A:$J,MATCH(Q$8,Adaptive!$4:$4,0),FALSE),0)</f>
        <v>0</v>
      </c>
      <c r="R48">
        <f>IFERROR(VLOOKUP($E48,Adaptive!$A:$J,MATCH(R$8,Adaptive!$4:$4,0),FALSE),0)</f>
        <v>0</v>
      </c>
      <c r="S48">
        <f>IFERROR(VLOOKUP($E48,Adaptive!$A:$J,MATCH(S$8,Adaptive!$4:$4,0),FALSE),0)</f>
        <v>0</v>
      </c>
      <c r="T48">
        <f>IFERROR(VLOOKUP($E48,Adaptive!$A:$J,MATCH(T$8,Adaptive!$4:$4,0),FALSE),0)</f>
        <v>0</v>
      </c>
      <c r="U48">
        <f>IFERROR(VLOOKUP($E48,Adaptive!$A:$J,MATCH(U$8,Adaptive!$4:$4,0),FALSE),0)</f>
        <v>0</v>
      </c>
      <c r="V48">
        <f>IFERROR(VLOOKUP($E48,Adaptive!$A:$J,MATCH(V$8,Adaptive!$4:$4,0),FALSE),0)</f>
        <v>0</v>
      </c>
      <c r="W48">
        <f>IFERROR(VLOOKUP($E48,Adaptive!$A:$J,MATCH(W$8,Adaptive!$4:$4,0),FALSE),0)</f>
        <v>0</v>
      </c>
      <c r="X48">
        <f>IFERROR(VLOOKUP($E48,Adaptive!$A:$J,MATCH(X$8,Adaptive!$4:$4,0),FALSE),0)</f>
        <v>0</v>
      </c>
      <c r="Y48" s="6">
        <f t="shared" si="12"/>
        <v>1842.5806451612841</v>
      </c>
      <c r="Z48" s="6" t="str">
        <f>_xlfn.XLOOKUP(B48,[1]Xref!$H:$H,[1]Xref!$A:$A)</f>
        <v>AU3426 Wide</v>
      </c>
      <c r="AA48" s="6">
        <f t="shared" si="9"/>
        <v>0</v>
      </c>
      <c r="AB48" s="10">
        <f t="shared" si="10"/>
        <v>0</v>
      </c>
      <c r="AC48">
        <f t="shared" si="11"/>
        <v>0</v>
      </c>
      <c r="AM48">
        <f t="shared" si="7"/>
        <v>0</v>
      </c>
      <c r="AN48">
        <f t="shared" si="8"/>
        <v>0</v>
      </c>
    </row>
    <row r="49" spans="1:40">
      <c r="A49">
        <v>12</v>
      </c>
      <c r="B49">
        <v>238024</v>
      </c>
      <c r="C49" t="s">
        <v>191</v>
      </c>
      <c r="D49" t="s">
        <v>192</v>
      </c>
      <c r="E49" t="s">
        <v>193</v>
      </c>
      <c r="F49" s="19" t="s">
        <v>194</v>
      </c>
      <c r="I49">
        <v>276</v>
      </c>
      <c r="M49">
        <v>276</v>
      </c>
      <c r="Q49">
        <f>IFERROR(VLOOKUP($E49,Adaptive!$A:$J,MATCH(Q$8,Adaptive!$4:$4,0),FALSE),0)</f>
        <v>0</v>
      </c>
      <c r="R49">
        <f>IFERROR(VLOOKUP($E49,Adaptive!$A:$J,MATCH(R$8,Adaptive!$4:$4,0),FALSE),0)</f>
        <v>0</v>
      </c>
      <c r="S49">
        <f>IFERROR(VLOOKUP($E49,Adaptive!$A:$J,MATCH(S$8,Adaptive!$4:$4,0),FALSE),0)</f>
        <v>0</v>
      </c>
      <c r="T49">
        <f>IFERROR(VLOOKUP($E49,Adaptive!$A:$J,MATCH(T$8,Adaptive!$4:$4,0),FALSE),0)</f>
        <v>0</v>
      </c>
      <c r="U49">
        <f>IFERROR(VLOOKUP($E49,Adaptive!$A:$J,MATCH(U$8,Adaptive!$4:$4,0),FALSE),0)</f>
        <v>0</v>
      </c>
      <c r="V49">
        <f>IFERROR(VLOOKUP($E49,Adaptive!$A:$J,MATCH(V$8,Adaptive!$4:$4,0),FALSE),0)</f>
        <v>0</v>
      </c>
      <c r="W49">
        <f>IFERROR(VLOOKUP($E49,Adaptive!$A:$J,MATCH(W$8,Adaptive!$4:$4,0),FALSE),0)</f>
        <v>0</v>
      </c>
      <c r="X49">
        <f>IFERROR(VLOOKUP($E49,Adaptive!$A:$J,MATCH(X$8,Adaptive!$4:$4,0),FALSE),0)</f>
        <v>0</v>
      </c>
      <c r="Y49" s="6">
        <f t="shared" si="12"/>
        <v>1176.115305422099</v>
      </c>
      <c r="Z49" s="6" t="str">
        <f>_xlfn.XLOOKUP(B49,[1]Xref!$H:$H,[1]Xref!$A:$A)</f>
        <v>AU7389G</v>
      </c>
      <c r="AA49" s="6">
        <f t="shared" si="9"/>
        <v>276</v>
      </c>
      <c r="AB49" s="10">
        <f t="shared" si="10"/>
        <v>1</v>
      </c>
      <c r="AC49">
        <f t="shared" si="11"/>
        <v>1</v>
      </c>
      <c r="AM49">
        <f t="shared" si="7"/>
        <v>0</v>
      </c>
      <c r="AN49">
        <f t="shared" si="8"/>
        <v>700</v>
      </c>
    </row>
    <row r="50" spans="1:40">
      <c r="A50">
        <v>12</v>
      </c>
      <c r="B50">
        <v>238025</v>
      </c>
      <c r="C50" t="s">
        <v>195</v>
      </c>
      <c r="D50" t="s">
        <v>196</v>
      </c>
      <c r="E50" t="s">
        <v>197</v>
      </c>
      <c r="F50" s="19" t="s">
        <v>194</v>
      </c>
      <c r="J50">
        <v>762</v>
      </c>
      <c r="M50">
        <v>0</v>
      </c>
      <c r="N50">
        <v>762</v>
      </c>
      <c r="Q50">
        <f>IFERROR(VLOOKUP($E50,Adaptive!$A:$J,MATCH(Q$8,Adaptive!$4:$4,0),FALSE),0)</f>
        <v>0</v>
      </c>
      <c r="R50">
        <f>IFERROR(VLOOKUP($E50,Adaptive!$A:$J,MATCH(R$8,Adaptive!$4:$4,0),FALSE),0)</f>
        <v>0</v>
      </c>
      <c r="S50">
        <f>IFERROR(VLOOKUP($E50,Adaptive!$A:$J,MATCH(S$8,Adaptive!$4:$4,0),FALSE),0)</f>
        <v>0</v>
      </c>
      <c r="T50">
        <f>IFERROR(VLOOKUP($E50,Adaptive!$A:$J,MATCH(T$8,Adaptive!$4:$4,0),FALSE),0)</f>
        <v>0</v>
      </c>
      <c r="U50">
        <f>IFERROR(VLOOKUP($E50,Adaptive!$A:$J,MATCH(U$8,Adaptive!$4:$4,0),FALSE),0)</f>
        <v>0</v>
      </c>
      <c r="V50">
        <f>IFERROR(VLOOKUP($E50,Adaptive!$A:$J,MATCH(V$8,Adaptive!$4:$4,0),FALSE),0)</f>
        <v>0</v>
      </c>
      <c r="W50">
        <f>IFERROR(VLOOKUP($E50,Adaptive!$A:$J,MATCH(W$8,Adaptive!$4:$4,0),FALSE),0)</f>
        <v>0</v>
      </c>
      <c r="X50">
        <f>IFERROR(VLOOKUP($E50,Adaptive!$A:$J,MATCH(X$8,Adaptive!$4:$4,0),FALSE),0)</f>
        <v>0</v>
      </c>
      <c r="Y50" s="6">
        <f t="shared" si="12"/>
        <v>1176.115305422099</v>
      </c>
      <c r="Z50" s="6" t="str">
        <f>_xlfn.XLOOKUP(B50,[1]Xref!$H:$H,[1]Xref!$A:$A)</f>
        <v>AU7389G</v>
      </c>
      <c r="AA50" s="6">
        <f t="shared" si="9"/>
        <v>762</v>
      </c>
      <c r="AB50" s="10">
        <f t="shared" si="10"/>
        <v>1</v>
      </c>
      <c r="AC50">
        <f t="shared" si="11"/>
        <v>1</v>
      </c>
      <c r="AM50">
        <f t="shared" si="7"/>
        <v>0</v>
      </c>
      <c r="AN50">
        <f t="shared" si="8"/>
        <v>700</v>
      </c>
    </row>
    <row r="51" spans="1:40">
      <c r="A51" s="23">
        <v>12</v>
      </c>
      <c r="B51" s="23">
        <v>238079</v>
      </c>
      <c r="C51" t="s">
        <v>198</v>
      </c>
      <c r="D51" t="s">
        <v>199</v>
      </c>
      <c r="E51" t="s">
        <v>200</v>
      </c>
      <c r="F51" s="19" t="s">
        <v>187</v>
      </c>
      <c r="I51">
        <v>6518</v>
      </c>
      <c r="J51">
        <v>3975</v>
      </c>
      <c r="M51">
        <v>6518</v>
      </c>
      <c r="N51">
        <v>3975</v>
      </c>
      <c r="Q51">
        <f>IFERROR(VLOOKUP($E51,Adaptive!$A:$J,MATCH(Q$8,Adaptive!$4:$4,0),FALSE),0)</f>
        <v>0</v>
      </c>
      <c r="R51">
        <f>IFERROR(VLOOKUP($E51,Adaptive!$A:$J,MATCH(R$8,Adaptive!$4:$4,0),FALSE),0)</f>
        <v>0</v>
      </c>
      <c r="S51">
        <f>IFERROR(VLOOKUP($E51,Adaptive!$A:$J,MATCH(S$8,Adaptive!$4:$4,0),FALSE),0)</f>
        <v>0</v>
      </c>
      <c r="T51">
        <f>IFERROR(VLOOKUP($E51,Adaptive!$A:$J,MATCH(T$8,Adaptive!$4:$4,0),FALSE),0)</f>
        <v>0</v>
      </c>
      <c r="U51">
        <f>IFERROR(VLOOKUP($E51,Adaptive!$A:$J,MATCH(U$8,Adaptive!$4:$4,0),FALSE),0)</f>
        <v>0</v>
      </c>
      <c r="V51">
        <f>IFERROR(VLOOKUP($E51,Adaptive!$A:$J,MATCH(V$8,Adaptive!$4:$4,0),FALSE),0)</f>
        <v>0</v>
      </c>
      <c r="W51">
        <f>IFERROR(VLOOKUP($E51,Adaptive!$A:$J,MATCH(W$8,Adaptive!$4:$4,0),FALSE),0)</f>
        <v>0</v>
      </c>
      <c r="X51">
        <f>IFERROR(VLOOKUP($E51,Adaptive!$A:$J,MATCH(X$8,Adaptive!$4:$4,0),FALSE),0)</f>
        <v>0</v>
      </c>
      <c r="Y51" s="6">
        <f t="shared" si="12"/>
        <v>1727.4193548387091</v>
      </c>
      <c r="Z51" s="6" t="str">
        <f>_xlfn.XLOOKUP(B51,[1]Xref!$H:$H,[1]Xref!$A:$A)</f>
        <v>AU4782DREP</v>
      </c>
      <c r="AA51" s="6">
        <f t="shared" si="9"/>
        <v>10493</v>
      </c>
      <c r="AB51" s="10">
        <f t="shared" si="10"/>
        <v>7</v>
      </c>
      <c r="AC51">
        <f t="shared" si="11"/>
        <v>3</v>
      </c>
      <c r="AK51">
        <v>1</v>
      </c>
      <c r="AM51">
        <f t="shared" si="7"/>
        <v>2800</v>
      </c>
      <c r="AN51">
        <f t="shared" si="8"/>
        <v>2100</v>
      </c>
    </row>
    <row r="52" spans="1:40">
      <c r="A52" s="10">
        <v>50</v>
      </c>
      <c r="B52" s="10">
        <v>238128</v>
      </c>
      <c r="C52" t="s">
        <v>201</v>
      </c>
      <c r="D52" t="s">
        <v>202</v>
      </c>
      <c r="E52" t="s">
        <v>203</v>
      </c>
      <c r="F52" s="19" t="s">
        <v>204</v>
      </c>
      <c r="G52">
        <v>2659</v>
      </c>
      <c r="I52">
        <v>0</v>
      </c>
      <c r="J52">
        <v>0</v>
      </c>
      <c r="K52">
        <v>695</v>
      </c>
      <c r="L52">
        <v>0</v>
      </c>
      <c r="M52">
        <v>0</v>
      </c>
      <c r="N52">
        <v>0</v>
      </c>
      <c r="O52">
        <v>0</v>
      </c>
      <c r="P52">
        <v>0</v>
      </c>
      <c r="Q52">
        <f>IFERROR(VLOOKUP($E52,Adaptive!$A:$J,MATCH(Q$8,Adaptive!$4:$4,0),FALSE),0)</f>
        <v>0</v>
      </c>
      <c r="R52">
        <f>IFERROR(VLOOKUP($E52,Adaptive!$A:$J,MATCH(R$8,Adaptive!$4:$4,0),FALSE),0)</f>
        <v>0</v>
      </c>
      <c r="S52">
        <f>IFERROR(VLOOKUP($E52,Adaptive!$A:$J,MATCH(S$8,Adaptive!$4:$4,0),FALSE),0)</f>
        <v>0</v>
      </c>
      <c r="T52">
        <f>IFERROR(VLOOKUP($E52,Adaptive!$A:$J,MATCH(T$8,Adaptive!$4:$4,0),FALSE),0)</f>
        <v>0</v>
      </c>
      <c r="U52">
        <f>IFERROR(VLOOKUP($E52,Adaptive!$A:$J,MATCH(U$8,Adaptive!$4:$4,0),FALSE),0)</f>
        <v>0</v>
      </c>
      <c r="V52">
        <f>IFERROR(VLOOKUP($E52,Adaptive!$A:$J,MATCH(V$8,Adaptive!$4:$4,0),FALSE),0)</f>
        <v>0</v>
      </c>
      <c r="W52">
        <f>IFERROR(VLOOKUP($E52,Adaptive!$A:$J,MATCH(W$8,Adaptive!$4:$4,0),FALSE),0)</f>
        <v>0</v>
      </c>
      <c r="X52">
        <f>IFERROR(VLOOKUP($E52,Adaptive!$A:$J,MATCH(X$8,Adaptive!$4:$4,0),FALSE),0)</f>
        <v>0</v>
      </c>
      <c r="Y52" s="6">
        <f t="shared" si="12"/>
        <v>2039.999999999997</v>
      </c>
      <c r="Z52" s="6" t="str">
        <f>_xlfn.XLOOKUP(B52,[1]Xref!$H:$H,[1]Xref!$A:$A)</f>
        <v>AU3426H</v>
      </c>
      <c r="AA52" s="6">
        <f t="shared" si="9"/>
        <v>0</v>
      </c>
      <c r="AB52" s="10">
        <f t="shared" si="10"/>
        <v>0</v>
      </c>
      <c r="AC52">
        <f t="shared" si="11"/>
        <v>0</v>
      </c>
      <c r="AM52">
        <f t="shared" si="7"/>
        <v>0</v>
      </c>
      <c r="AN52">
        <f t="shared" si="8"/>
        <v>0</v>
      </c>
    </row>
    <row r="53" spans="1:40">
      <c r="A53" s="10">
        <v>50</v>
      </c>
      <c r="B53" s="10">
        <v>238461</v>
      </c>
      <c r="C53" t="s">
        <v>205</v>
      </c>
      <c r="D53" t="s">
        <v>206</v>
      </c>
      <c r="E53" t="s">
        <v>207</v>
      </c>
      <c r="F53" s="19" t="s">
        <v>204</v>
      </c>
      <c r="G53">
        <v>1525</v>
      </c>
      <c r="H53">
        <v>25524</v>
      </c>
      <c r="I53">
        <v>4007</v>
      </c>
      <c r="J53">
        <v>19716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f>IFERROR(VLOOKUP($E53,Adaptive!$A:$J,MATCH(Q$8,Adaptive!$4:$4,0),FALSE),0)</f>
        <v>0</v>
      </c>
      <c r="R53">
        <f>IFERROR(VLOOKUP($E53,Adaptive!$A:$J,MATCH(R$8,Adaptive!$4:$4,0),FALSE),0)</f>
        <v>0</v>
      </c>
      <c r="S53">
        <f>IFERROR(VLOOKUP($E53,Adaptive!$A:$J,MATCH(S$8,Adaptive!$4:$4,0),FALSE),0)</f>
        <v>17016</v>
      </c>
      <c r="T53">
        <f>IFERROR(VLOOKUP($E53,Adaptive!$A:$J,MATCH(T$8,Adaptive!$4:$4,0),FALSE),0)</f>
        <v>8508</v>
      </c>
      <c r="U53">
        <f>IFERROR(VLOOKUP($E53,Adaptive!$A:$J,MATCH(U$8,Adaptive!$4:$4,0),FALSE),0)</f>
        <v>25524</v>
      </c>
      <c r="V53">
        <f>IFERROR(VLOOKUP($E53,Adaptive!$A:$J,MATCH(V$8,Adaptive!$4:$4,0),FALSE),0)</f>
        <v>0</v>
      </c>
      <c r="W53">
        <f>IFERROR(VLOOKUP($E53,Adaptive!$A:$J,MATCH(W$8,Adaptive!$4:$4,0),FALSE),0)</f>
        <v>0</v>
      </c>
      <c r="X53">
        <f>IFERROR(VLOOKUP($E53,Adaptive!$A:$J,MATCH(X$8,Adaptive!$4:$4,0),FALSE),0)</f>
        <v>0</v>
      </c>
      <c r="Y53" s="6">
        <f t="shared" si="12"/>
        <v>2039.999999999997</v>
      </c>
      <c r="Z53" s="6" t="str">
        <f>_xlfn.XLOOKUP(B53,[1]Xref!$H:$H,[1]Xref!$A:$A)</f>
        <v>AU3426H</v>
      </c>
      <c r="AA53" s="6">
        <f t="shared" si="9"/>
        <v>0</v>
      </c>
      <c r="AB53" s="10">
        <f t="shared" si="10"/>
        <v>0</v>
      </c>
      <c r="AC53">
        <f t="shared" si="11"/>
        <v>0</v>
      </c>
      <c r="AM53">
        <f t="shared" si="7"/>
        <v>0</v>
      </c>
      <c r="AN53">
        <f t="shared" si="8"/>
        <v>0</v>
      </c>
    </row>
    <row r="54" spans="1:40">
      <c r="A54">
        <v>50</v>
      </c>
      <c r="B54">
        <v>238880</v>
      </c>
      <c r="C54" t="s">
        <v>208</v>
      </c>
      <c r="D54" t="s">
        <v>209</v>
      </c>
      <c r="E54" t="s">
        <v>210</v>
      </c>
      <c r="F54" s="19" t="s">
        <v>211</v>
      </c>
      <c r="G54">
        <v>5396</v>
      </c>
      <c r="H54">
        <v>2500</v>
      </c>
      <c r="I54">
        <v>90</v>
      </c>
      <c r="J54">
        <v>10518</v>
      </c>
      <c r="K54">
        <v>0</v>
      </c>
      <c r="L54">
        <v>8798</v>
      </c>
      <c r="M54">
        <v>0</v>
      </c>
      <c r="N54">
        <v>2712</v>
      </c>
      <c r="O54">
        <v>0</v>
      </c>
      <c r="P54">
        <v>8798</v>
      </c>
      <c r="Q54">
        <f>IFERROR(VLOOKUP($E54,Adaptive!$A:$J,MATCH(Q$8,Adaptive!$4:$4,0),FALSE),0)</f>
        <v>0</v>
      </c>
      <c r="R54">
        <f>IFERROR(VLOOKUP($E54,Adaptive!$A:$J,MATCH(R$8,Adaptive!$4:$4,0),FALSE),0)</f>
        <v>2500</v>
      </c>
      <c r="S54">
        <f>IFERROR(VLOOKUP($E54,Adaptive!$A:$J,MATCH(S$8,Adaptive!$4:$4,0),FALSE),0)</f>
        <v>0</v>
      </c>
      <c r="T54">
        <f>IFERROR(VLOOKUP($E54,Adaptive!$A:$J,MATCH(T$8,Adaptive!$4:$4,0),FALSE),0)</f>
        <v>0</v>
      </c>
      <c r="U54">
        <f>IFERROR(VLOOKUP($E54,Adaptive!$A:$J,MATCH(U$8,Adaptive!$4:$4,0),FALSE),0)</f>
        <v>2500</v>
      </c>
      <c r="V54">
        <f>IFERROR(VLOOKUP($E54,Adaptive!$A:$J,MATCH(V$8,Adaptive!$4:$4,0),FALSE),0)</f>
        <v>0</v>
      </c>
      <c r="W54">
        <f>IFERROR(VLOOKUP($E54,Adaptive!$A:$J,MATCH(W$8,Adaptive!$4:$4,0),FALSE),0)</f>
        <v>0</v>
      </c>
      <c r="X54">
        <f>IFERROR(VLOOKUP($E54,Adaptive!$A:$J,MATCH(X$8,Adaptive!$4:$4,0),FALSE),0)</f>
        <v>0</v>
      </c>
      <c r="Y54" s="6">
        <f t="shared" si="12"/>
        <v>1139.3617021276559</v>
      </c>
      <c r="Z54" s="6" t="str">
        <f>_xlfn.XLOOKUP(B54,[1]Xref!$H:$H,[1]Xref!$A:$A)</f>
        <v>AU7389G</v>
      </c>
      <c r="AA54" s="6">
        <f t="shared" si="9"/>
        <v>11510</v>
      </c>
      <c r="AB54" s="10">
        <f t="shared" si="10"/>
        <v>11</v>
      </c>
      <c r="AC54">
        <f t="shared" si="11"/>
        <v>11</v>
      </c>
      <c r="AM54">
        <f t="shared" si="7"/>
        <v>0</v>
      </c>
      <c r="AN54">
        <f t="shared" si="8"/>
        <v>7700</v>
      </c>
    </row>
    <row r="55" spans="1:40">
      <c r="A55">
        <v>50</v>
      </c>
      <c r="B55">
        <v>238881</v>
      </c>
      <c r="C55" t="s">
        <v>212</v>
      </c>
      <c r="D55" t="s">
        <v>213</v>
      </c>
      <c r="E55" t="s">
        <v>214</v>
      </c>
      <c r="F55" s="19" t="s">
        <v>211</v>
      </c>
      <c r="I55">
        <v>1862</v>
      </c>
      <c r="J55">
        <v>0</v>
      </c>
      <c r="K55">
        <v>0</v>
      </c>
      <c r="L55">
        <v>1696</v>
      </c>
      <c r="M55">
        <v>1862</v>
      </c>
      <c r="N55">
        <v>0</v>
      </c>
      <c r="O55">
        <v>0</v>
      </c>
      <c r="P55">
        <v>1696</v>
      </c>
      <c r="Q55">
        <f>IFERROR(VLOOKUP($E55,Adaptive!$A:$J,MATCH(Q$8,Adaptive!$4:$4,0),FALSE),0)</f>
        <v>0</v>
      </c>
      <c r="R55">
        <f>IFERROR(VLOOKUP($E55,Adaptive!$A:$J,MATCH(R$8,Adaptive!$4:$4,0),FALSE),0)</f>
        <v>0</v>
      </c>
      <c r="S55">
        <f>IFERROR(VLOOKUP($E55,Adaptive!$A:$J,MATCH(S$8,Adaptive!$4:$4,0),FALSE),0)</f>
        <v>0</v>
      </c>
      <c r="T55">
        <f>IFERROR(VLOOKUP($E55,Adaptive!$A:$J,MATCH(T$8,Adaptive!$4:$4,0),FALSE),0)</f>
        <v>0</v>
      </c>
      <c r="U55">
        <f>IFERROR(VLOOKUP($E55,Adaptive!$A:$J,MATCH(U$8,Adaptive!$4:$4,0),FALSE),0)</f>
        <v>0</v>
      </c>
      <c r="V55">
        <f>IFERROR(VLOOKUP($E55,Adaptive!$A:$J,MATCH(V$8,Adaptive!$4:$4,0),FALSE),0)</f>
        <v>0</v>
      </c>
      <c r="W55">
        <f>IFERROR(VLOOKUP($E55,Adaptive!$A:$J,MATCH(W$8,Adaptive!$4:$4,0),FALSE),0)</f>
        <v>0</v>
      </c>
      <c r="X55">
        <f>IFERROR(VLOOKUP($E55,Adaptive!$A:$J,MATCH(X$8,Adaptive!$4:$4,0),FALSE),0)</f>
        <v>0</v>
      </c>
      <c r="Y55" s="6">
        <f t="shared" si="12"/>
        <v>1139.3617021276559</v>
      </c>
      <c r="Z55" s="6" t="str">
        <f>_xlfn.XLOOKUP(B55,[1]Xref!$H:$H,[1]Xref!$A:$A)</f>
        <v>AU7389G</v>
      </c>
      <c r="AA55" s="6">
        <f t="shared" si="9"/>
        <v>3558</v>
      </c>
      <c r="AB55" s="10">
        <f t="shared" si="10"/>
        <v>4</v>
      </c>
      <c r="AC55">
        <f t="shared" si="11"/>
        <v>4</v>
      </c>
      <c r="AM55">
        <f t="shared" si="7"/>
        <v>0</v>
      </c>
      <c r="AN55">
        <f t="shared" si="8"/>
        <v>2800</v>
      </c>
    </row>
    <row r="56" spans="1:40">
      <c r="A56" s="10">
        <v>12</v>
      </c>
      <c r="B56" s="10">
        <v>238912</v>
      </c>
      <c r="C56" t="s">
        <v>215</v>
      </c>
      <c r="D56" t="s">
        <v>216</v>
      </c>
      <c r="E56" t="s">
        <v>217</v>
      </c>
      <c r="F56" s="19" t="s">
        <v>218</v>
      </c>
      <c r="M56">
        <v>0</v>
      </c>
      <c r="N56">
        <v>0</v>
      </c>
      <c r="O56">
        <v>0</v>
      </c>
      <c r="P56">
        <v>0</v>
      </c>
      <c r="Q56">
        <f>IFERROR(VLOOKUP($E56,Adaptive!$A:$J,MATCH(Q$8,Adaptive!$4:$4,0),FALSE),0)</f>
        <v>0</v>
      </c>
      <c r="R56">
        <f>IFERROR(VLOOKUP($E56,Adaptive!$A:$J,MATCH(R$8,Adaptive!$4:$4,0),FALSE),0)</f>
        <v>0</v>
      </c>
      <c r="S56">
        <f>IFERROR(VLOOKUP($E56,Adaptive!$A:$J,MATCH(S$8,Adaptive!$4:$4,0),FALSE),0)</f>
        <v>0</v>
      </c>
      <c r="T56">
        <f>IFERROR(VLOOKUP($E56,Adaptive!$A:$J,MATCH(T$8,Adaptive!$4:$4,0),FALSE),0)</f>
        <v>0</v>
      </c>
      <c r="U56">
        <f>IFERROR(VLOOKUP($E56,Adaptive!$A:$J,MATCH(U$8,Adaptive!$4:$4,0),FALSE),0)</f>
        <v>0</v>
      </c>
      <c r="V56">
        <f>IFERROR(VLOOKUP($E56,Adaptive!$A:$J,MATCH(V$8,Adaptive!$4:$4,0),FALSE),0)</f>
        <v>0</v>
      </c>
      <c r="W56">
        <f>IFERROR(VLOOKUP($E56,Adaptive!$A:$J,MATCH(W$8,Adaptive!$4:$4,0),FALSE),0)</f>
        <v>0</v>
      </c>
      <c r="X56">
        <f>IFERROR(VLOOKUP($E56,Adaptive!$A:$J,MATCH(X$8,Adaptive!$4:$4,0),FALSE),0)</f>
        <v>0</v>
      </c>
      <c r="Y56" s="6">
        <f t="shared" si="12"/>
        <v>1883.0769230769229</v>
      </c>
      <c r="Z56" s="6" t="str">
        <f>_xlfn.XLOOKUP(B56,[1]Xref!$H:$H,[1]Xref!$A:$A)</f>
        <v>AU3426H</v>
      </c>
      <c r="AA56" s="6">
        <f t="shared" si="9"/>
        <v>0</v>
      </c>
      <c r="AB56" s="10">
        <f t="shared" si="10"/>
        <v>0</v>
      </c>
      <c r="AC56">
        <f t="shared" si="11"/>
        <v>0</v>
      </c>
      <c r="AM56">
        <f t="shared" si="7"/>
        <v>0</v>
      </c>
      <c r="AN56">
        <f t="shared" si="8"/>
        <v>0</v>
      </c>
    </row>
    <row r="57" spans="1:40">
      <c r="A57" s="10">
        <v>12</v>
      </c>
      <c r="B57" s="10">
        <v>238913</v>
      </c>
      <c r="C57" t="s">
        <v>219</v>
      </c>
      <c r="D57" t="s">
        <v>220</v>
      </c>
      <c r="E57" t="s">
        <v>221</v>
      </c>
      <c r="F57" s="19" t="s">
        <v>218</v>
      </c>
      <c r="G57">
        <v>9182</v>
      </c>
      <c r="I57">
        <v>3292</v>
      </c>
      <c r="J57">
        <v>1749</v>
      </c>
      <c r="M57">
        <v>0</v>
      </c>
      <c r="N57">
        <v>0</v>
      </c>
      <c r="O57">
        <v>0</v>
      </c>
      <c r="P57">
        <v>0</v>
      </c>
      <c r="Q57">
        <f>IFERROR(VLOOKUP($E57,Adaptive!$A:$J,MATCH(Q$8,Adaptive!$4:$4,0),FALSE),0)</f>
        <v>0</v>
      </c>
      <c r="R57">
        <f>IFERROR(VLOOKUP($E57,Adaptive!$A:$J,MATCH(R$8,Adaptive!$4:$4,0),FALSE),0)</f>
        <v>0</v>
      </c>
      <c r="S57">
        <f>IFERROR(VLOOKUP($E57,Adaptive!$A:$J,MATCH(S$8,Adaptive!$4:$4,0),FALSE),0)</f>
        <v>0</v>
      </c>
      <c r="T57">
        <f>IFERROR(VLOOKUP($E57,Adaptive!$A:$J,MATCH(T$8,Adaptive!$4:$4,0),FALSE),0)</f>
        <v>0</v>
      </c>
      <c r="U57">
        <f>IFERROR(VLOOKUP($E57,Adaptive!$A:$J,MATCH(U$8,Adaptive!$4:$4,0),FALSE),0)</f>
        <v>0</v>
      </c>
      <c r="V57">
        <f>IFERROR(VLOOKUP($E57,Adaptive!$A:$J,MATCH(V$8,Adaptive!$4:$4,0),FALSE),0)</f>
        <v>0</v>
      </c>
      <c r="W57">
        <f>IFERROR(VLOOKUP($E57,Adaptive!$A:$J,MATCH(W$8,Adaptive!$4:$4,0),FALSE),0)</f>
        <v>0</v>
      </c>
      <c r="X57">
        <f>IFERROR(VLOOKUP($E57,Adaptive!$A:$J,MATCH(X$8,Adaptive!$4:$4,0),FALSE),0)</f>
        <v>0</v>
      </c>
      <c r="Y57" s="6">
        <f t="shared" si="12"/>
        <v>1883.0769230769229</v>
      </c>
      <c r="Z57" s="6" t="str">
        <f>_xlfn.XLOOKUP(B57,[1]Xref!$H:$H,[1]Xref!$A:$A)</f>
        <v>AU3426H</v>
      </c>
      <c r="AA57" s="6">
        <f t="shared" si="9"/>
        <v>0</v>
      </c>
      <c r="AB57" s="10">
        <f t="shared" si="10"/>
        <v>0</v>
      </c>
      <c r="AC57">
        <f t="shared" si="11"/>
        <v>0</v>
      </c>
      <c r="AM57">
        <f t="shared" si="7"/>
        <v>0</v>
      </c>
      <c r="AN57">
        <f t="shared" si="8"/>
        <v>0</v>
      </c>
    </row>
    <row r="58" spans="1:40">
      <c r="A58" s="10">
        <v>50</v>
      </c>
      <c r="B58" s="10">
        <v>238968</v>
      </c>
      <c r="C58" t="s">
        <v>222</v>
      </c>
      <c r="D58" t="s">
        <v>223</v>
      </c>
      <c r="E58" t="s">
        <v>224</v>
      </c>
      <c r="F58" s="19" t="s">
        <v>187</v>
      </c>
      <c r="G58">
        <v>280</v>
      </c>
      <c r="H58">
        <v>1830</v>
      </c>
      <c r="I58">
        <v>0</v>
      </c>
      <c r="J58">
        <v>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f>IFERROR(VLOOKUP($E58,Adaptive!$A:$J,MATCH(Q$8,Adaptive!$4:$4,0),FALSE),0)</f>
        <v>0</v>
      </c>
      <c r="R58">
        <f>IFERROR(VLOOKUP($E58,Adaptive!$A:$J,MATCH(R$8,Adaptive!$4:$4,0),FALSE),0)</f>
        <v>1830</v>
      </c>
      <c r="S58">
        <f>IFERROR(VLOOKUP($E58,Adaptive!$A:$J,MATCH(S$8,Adaptive!$4:$4,0),FALSE),0)</f>
        <v>0</v>
      </c>
      <c r="T58">
        <f>IFERROR(VLOOKUP($E58,Adaptive!$A:$J,MATCH(T$8,Adaptive!$4:$4,0),FALSE),0)</f>
        <v>0</v>
      </c>
      <c r="U58">
        <f>IFERROR(VLOOKUP($E58,Adaptive!$A:$J,MATCH(U$8,Adaptive!$4:$4,0),FALSE),0)</f>
        <v>1830</v>
      </c>
      <c r="V58">
        <f>IFERROR(VLOOKUP($E58,Adaptive!$A:$J,MATCH(V$8,Adaptive!$4:$4,0),FALSE),0)</f>
        <v>0</v>
      </c>
      <c r="W58">
        <f>IFERROR(VLOOKUP($E58,Adaptive!$A:$J,MATCH(W$8,Adaptive!$4:$4,0),FALSE),0)</f>
        <v>0</v>
      </c>
      <c r="X58">
        <f>IFERROR(VLOOKUP($E58,Adaptive!$A:$J,MATCH(X$8,Adaptive!$4:$4,0),FALSE),0)</f>
        <v>0</v>
      </c>
      <c r="Y58" s="6">
        <f t="shared" si="12"/>
        <v>1727.4193548387091</v>
      </c>
      <c r="Z58" s="6" t="str">
        <f>_xlfn.XLOOKUP(B58,[1]Xref!$H:$H,[1]Xref!$A:$A)</f>
        <v>AU4782DREP</v>
      </c>
      <c r="AA58" s="6">
        <f t="shared" si="9"/>
        <v>0</v>
      </c>
      <c r="AB58" s="10">
        <f t="shared" si="10"/>
        <v>0</v>
      </c>
      <c r="AC58">
        <f t="shared" si="11"/>
        <v>0</v>
      </c>
      <c r="AM58">
        <f t="shared" si="7"/>
        <v>0</v>
      </c>
      <c r="AN58">
        <f t="shared" si="8"/>
        <v>0</v>
      </c>
    </row>
    <row r="59" spans="1:40">
      <c r="A59">
        <v>10</v>
      </c>
      <c r="B59">
        <v>238993</v>
      </c>
      <c r="C59" t="s">
        <v>225</v>
      </c>
      <c r="D59" t="s">
        <v>226</v>
      </c>
      <c r="E59" t="s">
        <v>227</v>
      </c>
      <c r="F59" s="19" t="s">
        <v>228</v>
      </c>
      <c r="J59">
        <v>713</v>
      </c>
      <c r="M59">
        <v>0</v>
      </c>
      <c r="N59">
        <v>713</v>
      </c>
      <c r="Q59">
        <f>IFERROR(VLOOKUP($E59,Adaptive!$A:$J,MATCH(Q$8,Adaptive!$4:$4,0),FALSE),0)</f>
        <v>0</v>
      </c>
      <c r="R59">
        <f>IFERROR(VLOOKUP($E59,Adaptive!$A:$J,MATCH(R$8,Adaptive!$4:$4,0),FALSE),0)</f>
        <v>0</v>
      </c>
      <c r="S59">
        <f>IFERROR(VLOOKUP($E59,Adaptive!$A:$J,MATCH(S$8,Adaptive!$4:$4,0),FALSE),0)</f>
        <v>0</v>
      </c>
      <c r="T59">
        <f>IFERROR(VLOOKUP($E59,Adaptive!$A:$J,MATCH(T$8,Adaptive!$4:$4,0),FALSE),0)</f>
        <v>0</v>
      </c>
      <c r="U59">
        <f>IFERROR(VLOOKUP($E59,Adaptive!$A:$J,MATCH(U$8,Adaptive!$4:$4,0),FALSE),0)</f>
        <v>0</v>
      </c>
      <c r="V59">
        <f>IFERROR(VLOOKUP($E59,Adaptive!$A:$J,MATCH(V$8,Adaptive!$4:$4,0),FALSE),0)</f>
        <v>0</v>
      </c>
      <c r="W59">
        <f>IFERROR(VLOOKUP($E59,Adaptive!$A:$J,MATCH(W$8,Adaptive!$4:$4,0),FALSE),0)</f>
        <v>0</v>
      </c>
      <c r="X59">
        <f>IFERROR(VLOOKUP($E59,Adaptive!$A:$J,MATCH(X$8,Adaptive!$4:$4,0),FALSE),0)</f>
        <v>0</v>
      </c>
      <c r="Y59" s="6">
        <f t="shared" si="12"/>
        <v>2080.8743169398872</v>
      </c>
      <c r="Z59" s="6" t="str">
        <f>_xlfn.XLOOKUP(B59,[1]Xref!$H:$H,[1]Xref!$A:$A)</f>
        <v>AU5429D</v>
      </c>
      <c r="AA59" s="6">
        <f t="shared" si="9"/>
        <v>713</v>
      </c>
      <c r="AB59" s="10">
        <f t="shared" si="10"/>
        <v>1</v>
      </c>
      <c r="AC59">
        <f t="shared" si="11"/>
        <v>1</v>
      </c>
      <c r="AM59">
        <f t="shared" si="7"/>
        <v>0</v>
      </c>
      <c r="AN59">
        <f t="shared" si="8"/>
        <v>700</v>
      </c>
    </row>
    <row r="60" spans="1:40">
      <c r="A60">
        <v>50</v>
      </c>
      <c r="B60">
        <v>239569</v>
      </c>
      <c r="C60" t="s">
        <v>229</v>
      </c>
      <c r="D60" t="s">
        <v>230</v>
      </c>
      <c r="E60" t="s">
        <v>231</v>
      </c>
      <c r="F60" s="19" t="s">
        <v>232</v>
      </c>
      <c r="G60">
        <v>14529</v>
      </c>
      <c r="I60">
        <v>6307</v>
      </c>
      <c r="J60">
        <v>7420</v>
      </c>
      <c r="K60">
        <v>3392</v>
      </c>
      <c r="L60">
        <v>0</v>
      </c>
      <c r="M60">
        <v>0</v>
      </c>
      <c r="N60">
        <v>0</v>
      </c>
      <c r="O60">
        <v>2590</v>
      </c>
      <c r="P60">
        <v>0</v>
      </c>
      <c r="Q60">
        <f>IFERROR(VLOOKUP($E60,Adaptive!$A:$J,MATCH(Q$8,Adaptive!$4:$4,0),FALSE),0)</f>
        <v>0</v>
      </c>
      <c r="R60">
        <f>IFERROR(VLOOKUP($E60,Adaptive!$A:$J,MATCH(R$8,Adaptive!$4:$4,0),FALSE),0)</f>
        <v>0</v>
      </c>
      <c r="S60">
        <f>IFERROR(VLOOKUP($E60,Adaptive!$A:$J,MATCH(S$8,Adaptive!$4:$4,0),FALSE),0)</f>
        <v>0</v>
      </c>
      <c r="T60">
        <f>IFERROR(VLOOKUP($E60,Adaptive!$A:$J,MATCH(T$8,Adaptive!$4:$4,0),FALSE),0)</f>
        <v>0</v>
      </c>
      <c r="U60">
        <f>IFERROR(VLOOKUP($E60,Adaptive!$A:$J,MATCH(U$8,Adaptive!$4:$4,0),FALSE),0)</f>
        <v>0</v>
      </c>
      <c r="V60">
        <f>IFERROR(VLOOKUP($E60,Adaptive!$A:$J,MATCH(V$8,Adaptive!$4:$4,0),FALSE),0)</f>
        <v>0</v>
      </c>
      <c r="W60">
        <f>IFERROR(VLOOKUP($E60,Adaptive!$A:$J,MATCH(W$8,Adaptive!$4:$4,0),FALSE),0)</f>
        <v>0</v>
      </c>
      <c r="X60">
        <f>IFERROR(VLOOKUP($E60,Adaptive!$A:$J,MATCH(X$8,Adaptive!$4:$4,0),FALSE),0)</f>
        <v>0</v>
      </c>
      <c r="Y60" s="6">
        <f t="shared" si="12"/>
        <v>2006.557377049176</v>
      </c>
      <c r="Z60" s="6" t="str">
        <f>_xlfn.XLOOKUP(B60,[1]Xref!$H:$H,[1]Xref!$A:$A)</f>
        <v>AU3426H</v>
      </c>
      <c r="AA60" s="6">
        <f t="shared" si="9"/>
        <v>2590</v>
      </c>
      <c r="AB60" s="10">
        <f t="shared" si="10"/>
        <v>2</v>
      </c>
      <c r="AC60">
        <f t="shared" si="11"/>
        <v>2</v>
      </c>
      <c r="AM60">
        <f t="shared" si="7"/>
        <v>0</v>
      </c>
      <c r="AN60">
        <f t="shared" si="8"/>
        <v>1400</v>
      </c>
    </row>
    <row r="61" spans="1:40">
      <c r="A61">
        <v>50</v>
      </c>
      <c r="B61" t="s">
        <v>233</v>
      </c>
      <c r="C61" t="s">
        <v>234</v>
      </c>
      <c r="D61" t="s">
        <v>235</v>
      </c>
      <c r="E61" t="s">
        <v>236</v>
      </c>
      <c r="F61" s="19" t="s">
        <v>237</v>
      </c>
      <c r="G61">
        <v>9824</v>
      </c>
      <c r="H61">
        <v>7750</v>
      </c>
      <c r="I61">
        <v>8771</v>
      </c>
      <c r="J61">
        <v>8692</v>
      </c>
      <c r="K61">
        <v>0</v>
      </c>
      <c r="L61">
        <v>4770</v>
      </c>
      <c r="M61">
        <v>0</v>
      </c>
      <c r="N61">
        <v>0</v>
      </c>
      <c r="O61">
        <v>0</v>
      </c>
      <c r="P61">
        <v>4659</v>
      </c>
      <c r="Q61">
        <f>IFERROR(VLOOKUP($E61,Adaptive!$A:$J,MATCH(Q$8,Adaptive!$4:$4,0),FALSE),0)</f>
        <v>0</v>
      </c>
      <c r="R61">
        <f>IFERROR(VLOOKUP($E61,Adaptive!$A:$J,MATCH(R$8,Adaptive!$4:$4,0),FALSE),0)</f>
        <v>7750</v>
      </c>
      <c r="S61">
        <f>IFERROR(VLOOKUP($E61,Adaptive!$A:$J,MATCH(S$8,Adaptive!$4:$4,0),FALSE),0)</f>
        <v>0</v>
      </c>
      <c r="T61">
        <f>IFERROR(VLOOKUP($E61,Adaptive!$A:$J,MATCH(T$8,Adaptive!$4:$4,0),FALSE),0)</f>
        <v>0</v>
      </c>
      <c r="U61">
        <f>IFERROR(VLOOKUP($E61,Adaptive!$A:$J,MATCH(U$8,Adaptive!$4:$4,0),FALSE),0)</f>
        <v>7750</v>
      </c>
      <c r="V61">
        <f>IFERROR(VLOOKUP($E61,Adaptive!$A:$J,MATCH(V$8,Adaptive!$4:$4,0),FALSE),0)</f>
        <v>0</v>
      </c>
      <c r="W61">
        <f>IFERROR(VLOOKUP($E61,Adaptive!$A:$J,MATCH(W$8,Adaptive!$4:$4,0),FALSE),0)</f>
        <v>0</v>
      </c>
      <c r="X61">
        <f>IFERROR(VLOOKUP($E61,Adaptive!$A:$J,MATCH(X$8,Adaptive!$4:$4,0),FALSE),0)</f>
        <v>0</v>
      </c>
      <c r="Y61" s="6">
        <f t="shared" si="12"/>
        <v>1754.838709677417</v>
      </c>
      <c r="Z61" s="6" t="str">
        <f>_xlfn.XLOOKUP(B61,[1]Xref!$H:$H,[1]Xref!$A:$A)</f>
        <v>AU4782K</v>
      </c>
      <c r="AA61" s="6">
        <f t="shared" si="9"/>
        <v>4659</v>
      </c>
      <c r="AB61" s="10">
        <f t="shared" si="10"/>
        <v>3</v>
      </c>
      <c r="AC61">
        <f t="shared" si="11"/>
        <v>3</v>
      </c>
      <c r="AM61">
        <f t="shared" si="7"/>
        <v>0</v>
      </c>
      <c r="AN61">
        <f t="shared" si="8"/>
        <v>2100</v>
      </c>
    </row>
    <row r="62" spans="1:40">
      <c r="A62" s="10">
        <v>50</v>
      </c>
      <c r="B62" s="10">
        <v>240608</v>
      </c>
      <c r="C62" t="s">
        <v>238</v>
      </c>
      <c r="D62" t="s">
        <v>239</v>
      </c>
      <c r="E62" t="s">
        <v>240</v>
      </c>
      <c r="F62" s="19" t="s">
        <v>241</v>
      </c>
      <c r="G62">
        <v>1498</v>
      </c>
      <c r="I62">
        <v>0</v>
      </c>
      <c r="J62">
        <v>0</v>
      </c>
      <c r="K62">
        <v>0</v>
      </c>
      <c r="L62">
        <v>1926</v>
      </c>
      <c r="M62">
        <v>0</v>
      </c>
      <c r="N62">
        <v>0</v>
      </c>
      <c r="O62">
        <v>0</v>
      </c>
      <c r="P62">
        <v>0</v>
      </c>
      <c r="Q62">
        <f>IFERROR(VLOOKUP($E62,Adaptive!$A:$J,MATCH(Q$8,Adaptive!$4:$4,0),FALSE),0)</f>
        <v>0</v>
      </c>
      <c r="R62">
        <f>IFERROR(VLOOKUP($E62,Adaptive!$A:$J,MATCH(R$8,Adaptive!$4:$4,0),FALSE),0)</f>
        <v>0</v>
      </c>
      <c r="S62">
        <f>IFERROR(VLOOKUP($E62,Adaptive!$A:$J,MATCH(S$8,Adaptive!$4:$4,0),FALSE),0)</f>
        <v>0</v>
      </c>
      <c r="T62">
        <f>IFERROR(VLOOKUP($E62,Adaptive!$A:$J,MATCH(T$8,Adaptive!$4:$4,0),FALSE),0)</f>
        <v>0</v>
      </c>
      <c r="U62">
        <f>IFERROR(VLOOKUP($E62,Adaptive!$A:$J,MATCH(U$8,Adaptive!$4:$4,0),FALSE),0)</f>
        <v>0</v>
      </c>
      <c r="V62">
        <f>IFERROR(VLOOKUP($E62,Adaptive!$A:$J,MATCH(V$8,Adaptive!$4:$4,0),FALSE),0)</f>
        <v>0</v>
      </c>
      <c r="W62">
        <f>IFERROR(VLOOKUP($E62,Adaptive!$A:$J,MATCH(W$8,Adaptive!$4:$4,0),FALSE),0)</f>
        <v>0</v>
      </c>
      <c r="X62">
        <f>IFERROR(VLOOKUP($E62,Adaptive!$A:$J,MATCH(X$8,Adaptive!$4:$4,0),FALSE),0)</f>
        <v>0</v>
      </c>
      <c r="Y62" s="6">
        <f t="shared" si="12"/>
        <v>1650.0722195474229</v>
      </c>
      <c r="Z62" s="6" t="str">
        <f>_xlfn.XLOOKUP(B62,[1]Xref!$H:$H,[1]Xref!$A:$A)</f>
        <v>AU5429D</v>
      </c>
      <c r="AA62" s="6">
        <f t="shared" si="9"/>
        <v>0</v>
      </c>
      <c r="AB62" s="10">
        <f t="shared" si="10"/>
        <v>0</v>
      </c>
      <c r="AC62">
        <f t="shared" si="11"/>
        <v>0</v>
      </c>
      <c r="AM62">
        <f t="shared" si="7"/>
        <v>0</v>
      </c>
      <c r="AN62">
        <f t="shared" si="8"/>
        <v>0</v>
      </c>
    </row>
    <row r="63" spans="1:40">
      <c r="A63">
        <v>50</v>
      </c>
      <c r="B63">
        <v>241147</v>
      </c>
      <c r="C63" t="s">
        <v>242</v>
      </c>
      <c r="D63" t="s">
        <v>243</v>
      </c>
      <c r="E63" t="s">
        <v>244</v>
      </c>
      <c r="F63" s="19" t="s">
        <v>211</v>
      </c>
      <c r="G63">
        <v>875</v>
      </c>
      <c r="I63">
        <v>848</v>
      </c>
      <c r="J63">
        <v>848</v>
      </c>
      <c r="K63">
        <v>848</v>
      </c>
      <c r="L63">
        <v>0</v>
      </c>
      <c r="M63">
        <v>0</v>
      </c>
      <c r="N63">
        <v>821</v>
      </c>
      <c r="O63">
        <v>848</v>
      </c>
      <c r="P63">
        <v>0</v>
      </c>
      <c r="Q63">
        <f>IFERROR(VLOOKUP($E63,Adaptive!$A:$J,MATCH(Q$8,Adaptive!$4:$4,0),FALSE),0)</f>
        <v>0</v>
      </c>
      <c r="R63">
        <f>IFERROR(VLOOKUP($E63,Adaptive!$A:$J,MATCH(R$8,Adaptive!$4:$4,0),FALSE),0)</f>
        <v>0</v>
      </c>
      <c r="S63">
        <f>IFERROR(VLOOKUP($E63,Adaptive!$A:$J,MATCH(S$8,Adaptive!$4:$4,0),FALSE),0)</f>
        <v>0</v>
      </c>
      <c r="T63">
        <f>IFERROR(VLOOKUP($E63,Adaptive!$A:$J,MATCH(T$8,Adaptive!$4:$4,0),FALSE),0)</f>
        <v>0</v>
      </c>
      <c r="U63">
        <f>IFERROR(VLOOKUP($E63,Adaptive!$A:$J,MATCH(U$8,Adaptive!$4:$4,0),FALSE),0)</f>
        <v>0</v>
      </c>
      <c r="V63">
        <f>IFERROR(VLOOKUP($E63,Adaptive!$A:$J,MATCH(V$8,Adaptive!$4:$4,0),FALSE),0)</f>
        <v>0</v>
      </c>
      <c r="W63">
        <f>IFERROR(VLOOKUP($E63,Adaptive!$A:$J,MATCH(W$8,Adaptive!$4:$4,0),FALSE),0)</f>
        <v>0</v>
      </c>
      <c r="X63">
        <f>IFERROR(VLOOKUP($E63,Adaptive!$A:$J,MATCH(X$8,Adaptive!$4:$4,0),FALSE),0)</f>
        <v>0</v>
      </c>
      <c r="Y63" s="6">
        <f t="shared" si="12"/>
        <v>1139.3617021276559</v>
      </c>
      <c r="Z63" s="6" t="str">
        <f>_xlfn.XLOOKUP(B63,[1]Xref!$H:$H,[1]Xref!$A:$A)</f>
        <v>AU7389G</v>
      </c>
      <c r="AA63" s="6">
        <f t="shared" si="9"/>
        <v>1669</v>
      </c>
      <c r="AB63" s="10">
        <f t="shared" si="10"/>
        <v>2</v>
      </c>
      <c r="AC63">
        <f t="shared" si="11"/>
        <v>2</v>
      </c>
      <c r="AM63">
        <f t="shared" si="7"/>
        <v>0</v>
      </c>
      <c r="AN63">
        <f t="shared" si="8"/>
        <v>1400</v>
      </c>
    </row>
    <row r="64" spans="1:40">
      <c r="A64" s="10">
        <v>10</v>
      </c>
      <c r="B64" s="10">
        <v>241190</v>
      </c>
      <c r="C64" t="s">
        <v>245</v>
      </c>
      <c r="D64" t="s">
        <v>246</v>
      </c>
      <c r="E64" t="s">
        <v>247</v>
      </c>
      <c r="F64" s="19" t="s">
        <v>228</v>
      </c>
      <c r="M64">
        <v>0</v>
      </c>
      <c r="N64">
        <v>0</v>
      </c>
      <c r="O64">
        <v>0</v>
      </c>
      <c r="P64">
        <v>0</v>
      </c>
      <c r="Q64">
        <f>IFERROR(VLOOKUP($E64,Adaptive!$A:$J,MATCH(Q$8,Adaptive!$4:$4,0),FALSE),0)</f>
        <v>0</v>
      </c>
      <c r="R64">
        <f>IFERROR(VLOOKUP($E64,Adaptive!$A:$J,MATCH(R$8,Adaptive!$4:$4,0),FALSE),0)</f>
        <v>0</v>
      </c>
      <c r="S64">
        <f>IFERROR(VLOOKUP($E64,Adaptive!$A:$J,MATCH(S$8,Adaptive!$4:$4,0),FALSE),0)</f>
        <v>0</v>
      </c>
      <c r="T64">
        <f>IFERROR(VLOOKUP($E64,Adaptive!$A:$J,MATCH(T$8,Adaptive!$4:$4,0),FALSE),0)</f>
        <v>0</v>
      </c>
      <c r="U64">
        <f>IFERROR(VLOOKUP($E64,Adaptive!$A:$J,MATCH(U$8,Adaptive!$4:$4,0),FALSE),0)</f>
        <v>0</v>
      </c>
      <c r="V64">
        <f>IFERROR(VLOOKUP($E64,Adaptive!$A:$J,MATCH(V$8,Adaptive!$4:$4,0),FALSE),0)</f>
        <v>0</v>
      </c>
      <c r="W64">
        <f>IFERROR(VLOOKUP($E64,Adaptive!$A:$J,MATCH(W$8,Adaptive!$4:$4,0),FALSE),0)</f>
        <v>0</v>
      </c>
      <c r="X64">
        <f>IFERROR(VLOOKUP($E64,Adaptive!$A:$J,MATCH(X$8,Adaptive!$4:$4,0),FALSE),0)</f>
        <v>0</v>
      </c>
      <c r="Y64" s="6">
        <f t="shared" si="12"/>
        <v>2080.8743169398872</v>
      </c>
      <c r="Z64" s="6" t="str">
        <f>_xlfn.XLOOKUP(B64,[1]Xref!$H:$H,[1]Xref!$A:$A)</f>
        <v>AU5429D</v>
      </c>
      <c r="AA64" s="6">
        <f t="shared" si="9"/>
        <v>0</v>
      </c>
      <c r="AB64" s="10">
        <f t="shared" si="10"/>
        <v>0</v>
      </c>
      <c r="AC64">
        <f t="shared" si="11"/>
        <v>0</v>
      </c>
      <c r="AM64">
        <f t="shared" si="7"/>
        <v>0</v>
      </c>
      <c r="AN64">
        <f t="shared" si="8"/>
        <v>0</v>
      </c>
    </row>
    <row r="65" spans="1:40">
      <c r="A65">
        <v>10</v>
      </c>
      <c r="B65">
        <v>241191</v>
      </c>
      <c r="C65" t="s">
        <v>248</v>
      </c>
      <c r="D65" t="s">
        <v>249</v>
      </c>
      <c r="E65" t="s">
        <v>250</v>
      </c>
      <c r="F65" s="19" t="s">
        <v>228</v>
      </c>
      <c r="G65">
        <v>1608</v>
      </c>
      <c r="I65">
        <v>2113</v>
      </c>
      <c r="J65">
        <v>0</v>
      </c>
      <c r="M65">
        <v>505</v>
      </c>
      <c r="N65">
        <v>0</v>
      </c>
      <c r="Q65">
        <f>IFERROR(VLOOKUP($E65,Adaptive!$A:$J,MATCH(Q$8,Adaptive!$4:$4,0),FALSE),0)</f>
        <v>0</v>
      </c>
      <c r="R65">
        <f>IFERROR(VLOOKUP($E65,Adaptive!$A:$J,MATCH(R$8,Adaptive!$4:$4,0),FALSE),0)</f>
        <v>0</v>
      </c>
      <c r="S65">
        <f>IFERROR(VLOOKUP($E65,Adaptive!$A:$J,MATCH(S$8,Adaptive!$4:$4,0),FALSE),0)</f>
        <v>0</v>
      </c>
      <c r="T65">
        <f>IFERROR(VLOOKUP($E65,Adaptive!$A:$J,MATCH(T$8,Adaptive!$4:$4,0),FALSE),0)</f>
        <v>0</v>
      </c>
      <c r="U65">
        <f>IFERROR(VLOOKUP($E65,Adaptive!$A:$J,MATCH(U$8,Adaptive!$4:$4,0),FALSE),0)</f>
        <v>0</v>
      </c>
      <c r="V65">
        <f>IFERROR(VLOOKUP($E65,Adaptive!$A:$J,MATCH(V$8,Adaptive!$4:$4,0),FALSE),0)</f>
        <v>0</v>
      </c>
      <c r="W65">
        <f>IFERROR(VLOOKUP($E65,Adaptive!$A:$J,MATCH(W$8,Adaptive!$4:$4,0),FALSE),0)</f>
        <v>0</v>
      </c>
      <c r="X65">
        <f>IFERROR(VLOOKUP($E65,Adaptive!$A:$J,MATCH(X$8,Adaptive!$4:$4,0),FALSE),0)</f>
        <v>0</v>
      </c>
      <c r="Y65" s="6">
        <f t="shared" si="12"/>
        <v>2080.8743169398872</v>
      </c>
      <c r="Z65" s="6" t="str">
        <f>_xlfn.XLOOKUP(B65,[1]Xref!$H:$H,[1]Xref!$A:$A)</f>
        <v>AU5429D</v>
      </c>
      <c r="AA65" s="6">
        <f t="shared" si="9"/>
        <v>505</v>
      </c>
      <c r="AB65" s="10">
        <f t="shared" si="10"/>
        <v>1</v>
      </c>
      <c r="AC65">
        <f t="shared" si="11"/>
        <v>1</v>
      </c>
      <c r="AM65">
        <f t="shared" si="7"/>
        <v>0</v>
      </c>
      <c r="AN65">
        <f t="shared" si="8"/>
        <v>700</v>
      </c>
    </row>
    <row r="66" spans="1:40">
      <c r="A66">
        <v>12</v>
      </c>
      <c r="B66">
        <v>241346</v>
      </c>
      <c r="C66" t="s">
        <v>251</v>
      </c>
      <c r="D66" t="s">
        <v>252</v>
      </c>
      <c r="E66" t="s">
        <v>253</v>
      </c>
      <c r="F66" s="19" t="s">
        <v>124</v>
      </c>
      <c r="I66">
        <v>79</v>
      </c>
      <c r="J66">
        <v>530</v>
      </c>
      <c r="M66">
        <v>79</v>
      </c>
      <c r="N66">
        <v>530</v>
      </c>
      <c r="Q66">
        <f>IFERROR(VLOOKUP($E66,Adaptive!$A:$J,MATCH(Q$8,Adaptive!$4:$4,0),FALSE),0)</f>
        <v>0</v>
      </c>
      <c r="R66">
        <f>IFERROR(VLOOKUP($E66,Adaptive!$A:$J,MATCH(R$8,Adaptive!$4:$4,0),FALSE),0)</f>
        <v>0</v>
      </c>
      <c r="S66">
        <f>IFERROR(VLOOKUP($E66,Adaptive!$A:$J,MATCH(S$8,Adaptive!$4:$4,0),FALSE),0)</f>
        <v>0</v>
      </c>
      <c r="T66">
        <f>IFERROR(VLOOKUP($E66,Adaptive!$A:$J,MATCH(T$8,Adaptive!$4:$4,0),FALSE),0)</f>
        <v>0</v>
      </c>
      <c r="U66">
        <f>IFERROR(VLOOKUP($E66,Adaptive!$A:$J,MATCH(U$8,Adaptive!$4:$4,0),FALSE),0)</f>
        <v>0</v>
      </c>
      <c r="V66">
        <f>IFERROR(VLOOKUP($E66,Adaptive!$A:$J,MATCH(V$8,Adaptive!$4:$4,0),FALSE),0)</f>
        <v>0</v>
      </c>
      <c r="W66">
        <f>IFERROR(VLOOKUP($E66,Adaptive!$A:$J,MATCH(W$8,Adaptive!$4:$4,0),FALSE),0)</f>
        <v>0</v>
      </c>
      <c r="X66">
        <f>IFERROR(VLOOKUP($E66,Adaptive!$A:$J,MATCH(X$8,Adaptive!$4:$4,0),FALSE),0)</f>
        <v>0</v>
      </c>
      <c r="Y66" s="6">
        <f t="shared" si="12"/>
        <v>1279.2833146696471</v>
      </c>
      <c r="Z66" s="6" t="str">
        <f>_xlfn.XLOOKUP(B66,[1]Xref!$H:$H,[1]Xref!$A:$A)</f>
        <v xml:space="preserve"> AU7389G</v>
      </c>
      <c r="AA66" s="6">
        <f t="shared" si="9"/>
        <v>609</v>
      </c>
      <c r="AB66" s="10">
        <f t="shared" si="10"/>
        <v>1</v>
      </c>
      <c r="AC66">
        <f t="shared" si="11"/>
        <v>1</v>
      </c>
      <c r="AM66">
        <f t="shared" si="7"/>
        <v>0</v>
      </c>
      <c r="AN66">
        <f t="shared" si="8"/>
        <v>700</v>
      </c>
    </row>
    <row r="67" spans="1:40">
      <c r="A67" s="23">
        <v>50</v>
      </c>
      <c r="B67" s="23" t="s">
        <v>254</v>
      </c>
      <c r="C67" t="s">
        <v>255</v>
      </c>
      <c r="D67" t="s">
        <v>256</v>
      </c>
      <c r="E67" t="s">
        <v>257</v>
      </c>
      <c r="F67" s="19" t="s">
        <v>194</v>
      </c>
      <c r="G67">
        <v>25885</v>
      </c>
      <c r="I67">
        <v>0</v>
      </c>
      <c r="J67">
        <v>16051</v>
      </c>
      <c r="K67">
        <v>0</v>
      </c>
      <c r="L67">
        <v>44838</v>
      </c>
      <c r="M67">
        <v>0</v>
      </c>
      <c r="N67">
        <v>0</v>
      </c>
      <c r="O67">
        <v>0</v>
      </c>
      <c r="P67">
        <v>35004</v>
      </c>
      <c r="Q67">
        <f>IFERROR(VLOOKUP($E67,Adaptive!$A:$J,MATCH(Q$8,Adaptive!$4:$4,0),FALSE),0)</f>
        <v>0</v>
      </c>
      <c r="R67">
        <f>IFERROR(VLOOKUP($E67,Adaptive!$A:$J,MATCH(R$8,Adaptive!$4:$4,0),FALSE),0)</f>
        <v>0</v>
      </c>
      <c r="S67">
        <f>IFERROR(VLOOKUP($E67,Adaptive!$A:$J,MATCH(S$8,Adaptive!$4:$4,0),FALSE),0)</f>
        <v>0</v>
      </c>
      <c r="T67">
        <f>IFERROR(VLOOKUP($E67,Adaptive!$A:$J,MATCH(T$8,Adaptive!$4:$4,0),FALSE),0)</f>
        <v>0</v>
      </c>
      <c r="U67">
        <f>IFERROR(VLOOKUP($E67,Adaptive!$A:$J,MATCH(U$8,Adaptive!$4:$4,0),FALSE),0)</f>
        <v>0</v>
      </c>
      <c r="V67">
        <f>IFERROR(VLOOKUP($E67,Adaptive!$A:$J,MATCH(V$8,Adaptive!$4:$4,0),FALSE),0)</f>
        <v>0</v>
      </c>
      <c r="W67">
        <f>IFERROR(VLOOKUP($E67,Adaptive!$A:$J,MATCH(W$8,Adaptive!$4:$4,0),FALSE),0)</f>
        <v>0</v>
      </c>
      <c r="X67">
        <f>IFERROR(VLOOKUP($E67,Adaptive!$A:$J,MATCH(X$8,Adaptive!$4:$4,0),FALSE),0)</f>
        <v>0</v>
      </c>
      <c r="Y67" s="6">
        <f t="shared" si="12"/>
        <v>1176.115305422099</v>
      </c>
      <c r="Z67" s="6" t="str">
        <f>_xlfn.XLOOKUP(B67,[1]Xref!$H:$H,[1]Xref!$A:$A)</f>
        <v>AU7389H</v>
      </c>
      <c r="AA67" s="6">
        <f t="shared" si="9"/>
        <v>35004</v>
      </c>
      <c r="AB67" s="10">
        <f t="shared" si="10"/>
        <v>30</v>
      </c>
      <c r="AC67">
        <f t="shared" si="11"/>
        <v>9</v>
      </c>
      <c r="AI67">
        <v>7</v>
      </c>
      <c r="AM67">
        <f t="shared" si="7"/>
        <v>14700</v>
      </c>
      <c r="AN67">
        <f t="shared" si="8"/>
        <v>6300</v>
      </c>
    </row>
    <row r="68" spans="1:40">
      <c r="A68" s="10">
        <v>12</v>
      </c>
      <c r="B68" s="10">
        <v>241674</v>
      </c>
      <c r="C68" t="s">
        <v>258</v>
      </c>
      <c r="D68" t="s">
        <v>259</v>
      </c>
      <c r="E68" t="s">
        <v>260</v>
      </c>
      <c r="F68" s="19" t="s">
        <v>218</v>
      </c>
      <c r="I68">
        <v>199</v>
      </c>
      <c r="M68">
        <v>0</v>
      </c>
      <c r="N68">
        <v>0</v>
      </c>
      <c r="O68">
        <v>0</v>
      </c>
      <c r="P68">
        <v>0</v>
      </c>
      <c r="Q68">
        <f>IFERROR(VLOOKUP($E68,Adaptive!$A:$J,MATCH(Q$8,Adaptive!$4:$4,0),FALSE),0)</f>
        <v>0</v>
      </c>
      <c r="R68">
        <f>IFERROR(VLOOKUP($E68,Adaptive!$A:$J,MATCH(R$8,Adaptive!$4:$4,0),FALSE),0)</f>
        <v>0</v>
      </c>
      <c r="S68">
        <f>IFERROR(VLOOKUP($E68,Adaptive!$A:$J,MATCH(S$8,Adaptive!$4:$4,0),FALSE),0)</f>
        <v>0</v>
      </c>
      <c r="T68">
        <f>IFERROR(VLOOKUP($E68,Adaptive!$A:$J,MATCH(T$8,Adaptive!$4:$4,0),FALSE),0)</f>
        <v>0</v>
      </c>
      <c r="U68">
        <f>IFERROR(VLOOKUP($E68,Adaptive!$A:$J,MATCH(U$8,Adaptive!$4:$4,0),FALSE),0)</f>
        <v>0</v>
      </c>
      <c r="V68">
        <f>IFERROR(VLOOKUP($E68,Adaptive!$A:$J,MATCH(V$8,Adaptive!$4:$4,0),FALSE),0)</f>
        <v>0</v>
      </c>
      <c r="W68">
        <f>IFERROR(VLOOKUP($E68,Adaptive!$A:$J,MATCH(W$8,Adaptive!$4:$4,0),FALSE),0)</f>
        <v>0</v>
      </c>
      <c r="X68">
        <f>IFERROR(VLOOKUP($E68,Adaptive!$A:$J,MATCH(X$8,Adaptive!$4:$4,0),FALSE),0)</f>
        <v>0</v>
      </c>
      <c r="Y68" s="6">
        <f t="shared" si="12"/>
        <v>1883.0769230769229</v>
      </c>
      <c r="Z68" s="6" t="str">
        <f>_xlfn.XLOOKUP(B68,[1]Xref!$H:$H,[1]Xref!$A:$A)</f>
        <v>AU3426H</v>
      </c>
      <c r="AA68" s="6">
        <f t="shared" si="9"/>
        <v>0</v>
      </c>
      <c r="AB68" s="10">
        <f t="shared" si="10"/>
        <v>0</v>
      </c>
      <c r="AC68">
        <f t="shared" si="11"/>
        <v>0</v>
      </c>
      <c r="AM68">
        <f t="shared" si="7"/>
        <v>0</v>
      </c>
      <c r="AN68">
        <f t="shared" si="8"/>
        <v>0</v>
      </c>
    </row>
    <row r="69" spans="1:40">
      <c r="A69">
        <v>50</v>
      </c>
      <c r="B69">
        <v>242039</v>
      </c>
      <c r="C69" t="s">
        <v>261</v>
      </c>
      <c r="D69" t="s">
        <v>262</v>
      </c>
      <c r="E69" t="s">
        <v>263</v>
      </c>
      <c r="F69" s="19" t="s">
        <v>264</v>
      </c>
      <c r="I69">
        <v>0</v>
      </c>
      <c r="J69">
        <v>0</v>
      </c>
      <c r="K69">
        <v>0</v>
      </c>
      <c r="L69">
        <v>1024</v>
      </c>
      <c r="M69">
        <v>0</v>
      </c>
      <c r="N69">
        <v>0</v>
      </c>
      <c r="O69">
        <v>0</v>
      </c>
      <c r="P69">
        <v>1024</v>
      </c>
      <c r="Q69">
        <f>IFERROR(VLOOKUP($E69,Adaptive!$A:$J,MATCH(Q$8,Adaptive!$4:$4,0),FALSE),0)</f>
        <v>0</v>
      </c>
      <c r="R69">
        <f>IFERROR(VLOOKUP($E69,Adaptive!$A:$J,MATCH(R$8,Adaptive!$4:$4,0),FALSE),0)</f>
        <v>0</v>
      </c>
      <c r="S69">
        <f>IFERROR(VLOOKUP($E69,Adaptive!$A:$J,MATCH(S$8,Adaptive!$4:$4,0),FALSE),0)</f>
        <v>0</v>
      </c>
      <c r="T69">
        <f>IFERROR(VLOOKUP($E69,Adaptive!$A:$J,MATCH(T$8,Adaptive!$4:$4,0),FALSE),0)</f>
        <v>0</v>
      </c>
      <c r="U69">
        <f>IFERROR(VLOOKUP($E69,Adaptive!$A:$J,MATCH(U$8,Adaptive!$4:$4,0),FALSE),0)</f>
        <v>0</v>
      </c>
      <c r="V69">
        <f>IFERROR(VLOOKUP($E69,Adaptive!$A:$J,MATCH(V$8,Adaptive!$4:$4,0),FALSE),0)</f>
        <v>0</v>
      </c>
      <c r="W69">
        <f>IFERROR(VLOOKUP($E69,Adaptive!$A:$J,MATCH(W$8,Adaptive!$4:$4,0),FALSE),0)</f>
        <v>0</v>
      </c>
      <c r="X69">
        <f>IFERROR(VLOOKUP($E69,Adaptive!$A:$J,MATCH(X$8,Adaptive!$4:$4,0),FALSE),0)</f>
        <v>0</v>
      </c>
      <c r="Y69" s="6">
        <f t="shared" si="12"/>
        <v>1702.5335320417271</v>
      </c>
      <c r="Z69" s="6" t="str">
        <f>_xlfn.XLOOKUP(B69,[1]Xref!$H:$H,[1]Xref!$A:$A)</f>
        <v>AU7368H</v>
      </c>
      <c r="AA69" s="6">
        <f t="shared" si="9"/>
        <v>1024</v>
      </c>
      <c r="AB69" s="10">
        <f t="shared" si="10"/>
        <v>1</v>
      </c>
      <c r="AC69">
        <f t="shared" si="11"/>
        <v>1</v>
      </c>
      <c r="AM69">
        <f t="shared" si="7"/>
        <v>0</v>
      </c>
      <c r="AN69">
        <f t="shared" si="8"/>
        <v>700</v>
      </c>
    </row>
    <row r="70" spans="1:40">
      <c r="A70" s="23">
        <v>50</v>
      </c>
      <c r="B70" s="23">
        <v>242317</v>
      </c>
      <c r="C70" t="s">
        <v>265</v>
      </c>
      <c r="D70" t="s">
        <v>266</v>
      </c>
      <c r="E70" t="s">
        <v>267</v>
      </c>
      <c r="F70" s="19" t="s">
        <v>268</v>
      </c>
      <c r="I70">
        <v>2046</v>
      </c>
      <c r="J70">
        <v>848</v>
      </c>
      <c r="K70">
        <v>0</v>
      </c>
      <c r="L70">
        <v>636</v>
      </c>
      <c r="M70">
        <v>2046</v>
      </c>
      <c r="N70">
        <v>848</v>
      </c>
      <c r="O70">
        <v>0</v>
      </c>
      <c r="P70">
        <v>636</v>
      </c>
      <c r="Q70">
        <f>IFERROR(VLOOKUP($E70,Adaptive!$A:$J,MATCH(Q$8,Adaptive!$4:$4,0),FALSE),0)</f>
        <v>0</v>
      </c>
      <c r="R70">
        <f>IFERROR(VLOOKUP($E70,Adaptive!$A:$J,MATCH(R$8,Adaptive!$4:$4,0),FALSE),0)</f>
        <v>0</v>
      </c>
      <c r="S70">
        <f>IFERROR(VLOOKUP($E70,Adaptive!$A:$J,MATCH(S$8,Adaptive!$4:$4,0),FALSE),0)</f>
        <v>0</v>
      </c>
      <c r="T70">
        <f>IFERROR(VLOOKUP($E70,Adaptive!$A:$J,MATCH(T$8,Adaptive!$4:$4,0),FALSE),0)</f>
        <v>0</v>
      </c>
      <c r="U70">
        <f>IFERROR(VLOOKUP($E70,Adaptive!$A:$J,MATCH(U$8,Adaptive!$4:$4,0),FALSE),0)</f>
        <v>0</v>
      </c>
      <c r="V70">
        <f>IFERROR(VLOOKUP($E70,Adaptive!$A:$J,MATCH(V$8,Adaptive!$4:$4,0),FALSE),0)</f>
        <v>0</v>
      </c>
      <c r="W70">
        <f>IFERROR(VLOOKUP($E70,Adaptive!$A:$J,MATCH(W$8,Adaptive!$4:$4,0),FALSE),0)</f>
        <v>0</v>
      </c>
      <c r="X70">
        <f>IFERROR(VLOOKUP($E70,Adaptive!$A:$J,MATCH(X$8,Adaptive!$4:$4,0),FALSE),0)</f>
        <v>0</v>
      </c>
      <c r="Y70" s="6">
        <f t="shared" si="12"/>
        <v>998.89245118040697</v>
      </c>
      <c r="Z70" s="6" t="str">
        <f>_xlfn.XLOOKUP(B70,[1]Xref!$H:$H,[1]Xref!$A:$A)</f>
        <v>AU7538B</v>
      </c>
      <c r="AA70" s="6">
        <f t="shared" si="9"/>
        <v>3530</v>
      </c>
      <c r="AB70" s="10">
        <f t="shared" si="10"/>
        <v>4</v>
      </c>
      <c r="AC70">
        <f t="shared" si="11"/>
        <v>2</v>
      </c>
      <c r="AH70">
        <v>1</v>
      </c>
      <c r="AM70">
        <f t="shared" si="7"/>
        <v>1400</v>
      </c>
      <c r="AN70">
        <f t="shared" si="8"/>
        <v>1400</v>
      </c>
    </row>
    <row r="71" spans="1:40">
      <c r="A71" s="10">
        <v>50</v>
      </c>
      <c r="B71" s="10">
        <v>242318</v>
      </c>
      <c r="C71" t="s">
        <v>269</v>
      </c>
      <c r="D71" t="s">
        <v>270</v>
      </c>
      <c r="E71" t="s">
        <v>271</v>
      </c>
      <c r="F71" s="19" t="s">
        <v>268</v>
      </c>
      <c r="I71">
        <v>530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f>IFERROR(VLOOKUP($E71,Adaptive!$A:$J,MATCH(Q$8,Adaptive!$4:$4,0),FALSE),0)</f>
        <v>0</v>
      </c>
      <c r="R71">
        <f>IFERROR(VLOOKUP($E71,Adaptive!$A:$J,MATCH(R$8,Adaptive!$4:$4,0),FALSE),0)</f>
        <v>0</v>
      </c>
      <c r="S71">
        <f>IFERROR(VLOOKUP($E71,Adaptive!$A:$J,MATCH(S$8,Adaptive!$4:$4,0),FALSE),0)</f>
        <v>0</v>
      </c>
      <c r="T71">
        <f>IFERROR(VLOOKUP($E71,Adaptive!$A:$J,MATCH(T$8,Adaptive!$4:$4,0),FALSE),0)</f>
        <v>0</v>
      </c>
      <c r="U71">
        <f>IFERROR(VLOOKUP($E71,Adaptive!$A:$J,MATCH(U$8,Adaptive!$4:$4,0),FALSE),0)</f>
        <v>0</v>
      </c>
      <c r="V71">
        <f>IFERROR(VLOOKUP($E71,Adaptive!$A:$J,MATCH(V$8,Adaptive!$4:$4,0),FALSE),0)</f>
        <v>0</v>
      </c>
      <c r="W71">
        <f>IFERROR(VLOOKUP($E71,Adaptive!$A:$J,MATCH(W$8,Adaptive!$4:$4,0),FALSE),0)</f>
        <v>0</v>
      </c>
      <c r="X71">
        <f>IFERROR(VLOOKUP($E71,Adaptive!$A:$J,MATCH(X$8,Adaptive!$4:$4,0),FALSE),0)</f>
        <v>0</v>
      </c>
      <c r="Y71" s="6">
        <f t="shared" si="12"/>
        <v>998.89245118040697</v>
      </c>
      <c r="Z71" s="6" t="str">
        <f>_xlfn.XLOOKUP(B71,[1]Xref!$H:$H,[1]Xref!$A:$A)</f>
        <v>AU7538B</v>
      </c>
      <c r="AA71" s="6">
        <f t="shared" si="9"/>
        <v>0</v>
      </c>
      <c r="AB71" s="10">
        <f t="shared" si="10"/>
        <v>0</v>
      </c>
      <c r="AC71">
        <f t="shared" si="11"/>
        <v>0</v>
      </c>
      <c r="AM71">
        <f t="shared" si="7"/>
        <v>0</v>
      </c>
      <c r="AN71">
        <f t="shared" si="8"/>
        <v>0</v>
      </c>
    </row>
    <row r="72" spans="1:40">
      <c r="A72">
        <v>50</v>
      </c>
      <c r="B72">
        <v>242792</v>
      </c>
      <c r="C72" t="s">
        <v>272</v>
      </c>
      <c r="D72" t="s">
        <v>273</v>
      </c>
      <c r="E72" t="s">
        <v>274</v>
      </c>
      <c r="F72" s="19" t="s">
        <v>237</v>
      </c>
      <c r="I72">
        <v>1851</v>
      </c>
      <c r="J72">
        <v>0</v>
      </c>
      <c r="K72">
        <v>0</v>
      </c>
      <c r="L72">
        <v>0</v>
      </c>
      <c r="M72">
        <v>1851</v>
      </c>
      <c r="N72">
        <v>0</v>
      </c>
      <c r="O72">
        <v>0</v>
      </c>
      <c r="P72">
        <v>0</v>
      </c>
      <c r="Q72">
        <f>IFERROR(VLOOKUP($E72,Adaptive!$A:$J,MATCH(Q$8,Adaptive!$4:$4,0),FALSE),0)</f>
        <v>0</v>
      </c>
      <c r="R72">
        <f>IFERROR(VLOOKUP($E72,Adaptive!$A:$J,MATCH(R$8,Adaptive!$4:$4,0),FALSE),0)</f>
        <v>0</v>
      </c>
      <c r="S72">
        <f>IFERROR(VLOOKUP($E72,Adaptive!$A:$J,MATCH(S$8,Adaptive!$4:$4,0),FALSE),0)</f>
        <v>0</v>
      </c>
      <c r="T72">
        <f>IFERROR(VLOOKUP($E72,Adaptive!$A:$J,MATCH(T$8,Adaptive!$4:$4,0),FALSE),0)</f>
        <v>0</v>
      </c>
      <c r="U72">
        <f>IFERROR(VLOOKUP($E72,Adaptive!$A:$J,MATCH(U$8,Adaptive!$4:$4,0),FALSE),0)</f>
        <v>0</v>
      </c>
      <c r="V72">
        <f>IFERROR(VLOOKUP($E72,Adaptive!$A:$J,MATCH(V$8,Adaptive!$4:$4,0),FALSE),0)</f>
        <v>0</v>
      </c>
      <c r="W72">
        <f>IFERROR(VLOOKUP($E72,Adaptive!$A:$J,MATCH(W$8,Adaptive!$4:$4,0),FALSE),0)</f>
        <v>0</v>
      </c>
      <c r="X72">
        <f>IFERROR(VLOOKUP($E72,Adaptive!$A:$J,MATCH(X$8,Adaptive!$4:$4,0),FALSE),0)</f>
        <v>0</v>
      </c>
      <c r="Y72" s="6">
        <f t="shared" si="12"/>
        <v>1754.838709677417</v>
      </c>
      <c r="Z72" s="6" t="str">
        <f>_xlfn.XLOOKUP(B72,[1]Xref!$H:$H,[1]Xref!$A:$A)</f>
        <v>AU4782K</v>
      </c>
      <c r="AA72" s="6">
        <f t="shared" ref="AA72:AA103" si="13">SUM(M72:P72)</f>
        <v>1851</v>
      </c>
      <c r="AB72" s="10">
        <f t="shared" ref="AB72:AB103" si="14">ROUNDUP(AA72/Y72,0)</f>
        <v>2</v>
      </c>
      <c r="AC72">
        <f t="shared" ref="AC72:AC103" si="15">AB72-SUMPRODUCT(AE72:AL72,$AE$6:$AL$6)</f>
        <v>2</v>
      </c>
      <c r="AM72">
        <f t="shared" si="7"/>
        <v>0</v>
      </c>
      <c r="AN72">
        <f t="shared" si="8"/>
        <v>1400</v>
      </c>
    </row>
    <row r="73" spans="1:40">
      <c r="A73" s="10">
        <v>50</v>
      </c>
      <c r="B73" s="10">
        <v>242882</v>
      </c>
      <c r="C73" t="s">
        <v>275</v>
      </c>
      <c r="D73" t="s">
        <v>276</v>
      </c>
      <c r="E73" t="s">
        <v>277</v>
      </c>
      <c r="F73" s="19" t="s">
        <v>278</v>
      </c>
      <c r="G73">
        <v>1792</v>
      </c>
      <c r="H73">
        <v>6760</v>
      </c>
      <c r="I73">
        <v>0</v>
      </c>
      <c r="J73">
        <v>9718</v>
      </c>
      <c r="K73">
        <v>0</v>
      </c>
      <c r="L73">
        <v>13038</v>
      </c>
      <c r="M73">
        <v>0</v>
      </c>
      <c r="N73">
        <v>1166</v>
      </c>
      <c r="O73">
        <v>0</v>
      </c>
      <c r="P73">
        <v>13038</v>
      </c>
      <c r="Q73">
        <f>IFERROR(VLOOKUP($E73,Adaptive!$A:$J,MATCH(Q$8,Adaptive!$4:$4,0),FALSE),0)</f>
        <v>0</v>
      </c>
      <c r="R73">
        <f>IFERROR(VLOOKUP($E73,Adaptive!$A:$J,MATCH(R$8,Adaptive!$4:$4,0),FALSE),0)</f>
        <v>6760</v>
      </c>
      <c r="S73">
        <f>IFERROR(VLOOKUP($E73,Adaptive!$A:$J,MATCH(S$8,Adaptive!$4:$4,0),FALSE),0)</f>
        <v>0</v>
      </c>
      <c r="T73">
        <f>IFERROR(VLOOKUP($E73,Adaptive!$A:$J,MATCH(T$8,Adaptive!$4:$4,0),FALSE),0)</f>
        <v>0</v>
      </c>
      <c r="U73">
        <f>IFERROR(VLOOKUP($E73,Adaptive!$A:$J,MATCH(U$8,Adaptive!$4:$4,0),FALSE),0)</f>
        <v>6760</v>
      </c>
      <c r="V73">
        <f>IFERROR(VLOOKUP($E73,Adaptive!$A:$J,MATCH(V$8,Adaptive!$4:$4,0),FALSE),0)</f>
        <v>0</v>
      </c>
      <c r="W73">
        <f>IFERROR(VLOOKUP($E73,Adaptive!$A:$J,MATCH(W$8,Adaptive!$4:$4,0),FALSE),0)</f>
        <v>0</v>
      </c>
      <c r="X73">
        <f>IFERROR(VLOOKUP($E73,Adaptive!$A:$J,MATCH(X$8,Adaptive!$4:$4,0),FALSE),0)</f>
        <v>0</v>
      </c>
      <c r="Y73" s="6">
        <f t="shared" ref="Y73:Y104" si="16">F73*700</f>
        <v>1854.5454545454479</v>
      </c>
      <c r="Z73" s="6" t="str">
        <f>_xlfn.XLOOKUP(B73,[1]Xref!$H:$H,[1]Xref!$A:$A)</f>
        <v>ANMUT-C</v>
      </c>
      <c r="AA73" s="6">
        <f t="shared" si="13"/>
        <v>14204</v>
      </c>
      <c r="AB73" s="10">
        <f t="shared" si="14"/>
        <v>8</v>
      </c>
      <c r="AC73">
        <f t="shared" si="15"/>
        <v>0</v>
      </c>
      <c r="AJ73">
        <v>2</v>
      </c>
      <c r="AM73">
        <f t="shared" ref="AM73:AM104" si="17">SUMPRODUCT(AE73:AL73,$AE$6:$AL$6)*700</f>
        <v>5600</v>
      </c>
      <c r="AN73">
        <f t="shared" ref="AN73:AN104" si="18">AC73*700</f>
        <v>0</v>
      </c>
    </row>
    <row r="74" spans="1:40">
      <c r="A74" s="10">
        <v>50</v>
      </c>
      <c r="B74" s="10">
        <v>242883</v>
      </c>
      <c r="C74" t="s">
        <v>279</v>
      </c>
      <c r="D74" t="s">
        <v>280</v>
      </c>
      <c r="E74" t="s">
        <v>281</v>
      </c>
      <c r="F74" s="19" t="s">
        <v>278</v>
      </c>
      <c r="G74">
        <v>1906</v>
      </c>
      <c r="H74">
        <v>6808</v>
      </c>
      <c r="I74">
        <v>0</v>
      </c>
      <c r="J74">
        <v>189</v>
      </c>
      <c r="K74">
        <v>0</v>
      </c>
      <c r="L74">
        <v>2120</v>
      </c>
      <c r="M74">
        <v>0</v>
      </c>
      <c r="N74">
        <v>0</v>
      </c>
      <c r="O74">
        <v>0</v>
      </c>
      <c r="P74">
        <v>0</v>
      </c>
      <c r="Q74">
        <f>IFERROR(VLOOKUP($E74,Adaptive!$A:$J,MATCH(Q$8,Adaptive!$4:$4,0),FALSE),0)</f>
        <v>0</v>
      </c>
      <c r="R74">
        <f>IFERROR(VLOOKUP($E74,Adaptive!$A:$J,MATCH(R$8,Adaptive!$4:$4,0),FALSE),0)</f>
        <v>0</v>
      </c>
      <c r="S74">
        <f>IFERROR(VLOOKUP($E74,Adaptive!$A:$J,MATCH(S$8,Adaptive!$4:$4,0),FALSE),0)</f>
        <v>0</v>
      </c>
      <c r="T74">
        <f>IFERROR(VLOOKUP($E74,Adaptive!$A:$J,MATCH(T$8,Adaptive!$4:$4,0),FALSE),0)</f>
        <v>6808</v>
      </c>
      <c r="U74">
        <f>IFERROR(VLOOKUP($E74,Adaptive!$A:$J,MATCH(U$8,Adaptive!$4:$4,0),FALSE),0)</f>
        <v>6808</v>
      </c>
      <c r="V74">
        <f>IFERROR(VLOOKUP($E74,Adaptive!$A:$J,MATCH(V$8,Adaptive!$4:$4,0),FALSE),0)</f>
        <v>0</v>
      </c>
      <c r="W74">
        <f>IFERROR(VLOOKUP($E74,Adaptive!$A:$J,MATCH(W$8,Adaptive!$4:$4,0),FALSE),0)</f>
        <v>0</v>
      </c>
      <c r="X74">
        <f>IFERROR(VLOOKUP($E74,Adaptive!$A:$J,MATCH(X$8,Adaptive!$4:$4,0),FALSE),0)</f>
        <v>0</v>
      </c>
      <c r="Y74" s="6">
        <f t="shared" si="16"/>
        <v>1854.5454545454479</v>
      </c>
      <c r="Z74" s="6" t="str">
        <f>_xlfn.XLOOKUP(B74,[1]Xref!$H:$H,[1]Xref!$A:$A)</f>
        <v>ANMUT-C</v>
      </c>
      <c r="AA74" s="6">
        <f t="shared" si="13"/>
        <v>0</v>
      </c>
      <c r="AB74" s="10">
        <f t="shared" si="14"/>
        <v>0</v>
      </c>
      <c r="AC74">
        <f t="shared" si="15"/>
        <v>0</v>
      </c>
      <c r="AM74">
        <f t="shared" si="17"/>
        <v>0</v>
      </c>
      <c r="AN74">
        <f t="shared" si="18"/>
        <v>0</v>
      </c>
    </row>
    <row r="75" spans="1:40">
      <c r="A75" s="10">
        <v>50</v>
      </c>
      <c r="B75" s="10">
        <v>243850</v>
      </c>
      <c r="C75" t="s">
        <v>282</v>
      </c>
      <c r="D75" t="s">
        <v>283</v>
      </c>
      <c r="E75" t="s">
        <v>284</v>
      </c>
      <c r="F75" s="19" t="s">
        <v>268</v>
      </c>
      <c r="I75">
        <v>0</v>
      </c>
      <c r="J75">
        <v>0</v>
      </c>
      <c r="K75">
        <v>0</v>
      </c>
      <c r="L75">
        <v>267</v>
      </c>
      <c r="M75">
        <v>0</v>
      </c>
      <c r="N75">
        <v>0</v>
      </c>
      <c r="O75">
        <v>0</v>
      </c>
      <c r="P75">
        <v>0</v>
      </c>
      <c r="Q75">
        <f>IFERROR(VLOOKUP($E75,Adaptive!$A:$J,MATCH(Q$8,Adaptive!$4:$4,0),FALSE),0)</f>
        <v>0</v>
      </c>
      <c r="R75">
        <f>IFERROR(VLOOKUP($E75,Adaptive!$A:$J,MATCH(R$8,Adaptive!$4:$4,0),FALSE),0)</f>
        <v>0</v>
      </c>
      <c r="S75">
        <f>IFERROR(VLOOKUP($E75,Adaptive!$A:$J,MATCH(S$8,Adaptive!$4:$4,0),FALSE),0)</f>
        <v>0</v>
      </c>
      <c r="T75">
        <f>IFERROR(VLOOKUP($E75,Adaptive!$A:$J,MATCH(T$8,Adaptive!$4:$4,0),FALSE),0)</f>
        <v>0</v>
      </c>
      <c r="U75">
        <f>IFERROR(VLOOKUP($E75,Adaptive!$A:$J,MATCH(U$8,Adaptive!$4:$4,0),FALSE),0)</f>
        <v>0</v>
      </c>
      <c r="V75">
        <f>IFERROR(VLOOKUP($E75,Adaptive!$A:$J,MATCH(V$8,Adaptive!$4:$4,0),FALSE),0)</f>
        <v>0</v>
      </c>
      <c r="W75">
        <f>IFERROR(VLOOKUP($E75,Adaptive!$A:$J,MATCH(W$8,Adaptive!$4:$4,0),FALSE),0)</f>
        <v>0</v>
      </c>
      <c r="X75">
        <f>IFERROR(VLOOKUP($E75,Adaptive!$A:$J,MATCH(X$8,Adaptive!$4:$4,0),FALSE),0)</f>
        <v>0</v>
      </c>
      <c r="Y75" s="6">
        <f t="shared" si="16"/>
        <v>998.89245118040697</v>
      </c>
      <c r="Z75" s="6" t="str">
        <f>_xlfn.XLOOKUP(B75,[1]Xref!$H:$H,[1]Xref!$A:$A)</f>
        <v>AU7538B</v>
      </c>
      <c r="AA75" s="6">
        <f t="shared" si="13"/>
        <v>0</v>
      </c>
      <c r="AB75" s="10">
        <f t="shared" si="14"/>
        <v>0</v>
      </c>
      <c r="AC75">
        <f t="shared" si="15"/>
        <v>0</v>
      </c>
      <c r="AM75">
        <f t="shared" si="17"/>
        <v>0</v>
      </c>
      <c r="AN75">
        <f t="shared" si="18"/>
        <v>0</v>
      </c>
    </row>
    <row r="76" spans="1:40">
      <c r="A76" s="10">
        <v>50</v>
      </c>
      <c r="B76" s="10">
        <v>244366</v>
      </c>
      <c r="C76" t="s">
        <v>285</v>
      </c>
      <c r="D76" t="s">
        <v>286</v>
      </c>
      <c r="E76" t="s">
        <v>287</v>
      </c>
      <c r="F76" s="19" t="s">
        <v>194</v>
      </c>
      <c r="G76">
        <v>78</v>
      </c>
      <c r="I76">
        <v>0</v>
      </c>
      <c r="J76">
        <v>0</v>
      </c>
      <c r="K76">
        <v>0</v>
      </c>
      <c r="L76">
        <v>356</v>
      </c>
      <c r="M76">
        <v>0</v>
      </c>
      <c r="N76">
        <v>0</v>
      </c>
      <c r="O76">
        <v>0</v>
      </c>
      <c r="P76">
        <v>0</v>
      </c>
      <c r="Q76">
        <f>IFERROR(VLOOKUP($E76,Adaptive!$A:$J,MATCH(Q$8,Adaptive!$4:$4,0),FALSE),0)</f>
        <v>0</v>
      </c>
      <c r="R76">
        <f>IFERROR(VLOOKUP($E76,Adaptive!$A:$J,MATCH(R$8,Adaptive!$4:$4,0),FALSE),0)</f>
        <v>0</v>
      </c>
      <c r="S76">
        <f>IFERROR(VLOOKUP($E76,Adaptive!$A:$J,MATCH(S$8,Adaptive!$4:$4,0),FALSE),0)</f>
        <v>0</v>
      </c>
      <c r="T76">
        <f>IFERROR(VLOOKUP($E76,Adaptive!$A:$J,MATCH(T$8,Adaptive!$4:$4,0),FALSE),0)</f>
        <v>0</v>
      </c>
      <c r="U76">
        <f>IFERROR(VLOOKUP($E76,Adaptive!$A:$J,MATCH(U$8,Adaptive!$4:$4,0),FALSE),0)</f>
        <v>0</v>
      </c>
      <c r="V76">
        <f>IFERROR(VLOOKUP($E76,Adaptive!$A:$J,MATCH(V$8,Adaptive!$4:$4,0),FALSE),0)</f>
        <v>0</v>
      </c>
      <c r="W76">
        <f>IFERROR(VLOOKUP($E76,Adaptive!$A:$J,MATCH(W$8,Adaptive!$4:$4,0),FALSE),0)</f>
        <v>0</v>
      </c>
      <c r="X76">
        <f>IFERROR(VLOOKUP($E76,Adaptive!$A:$J,MATCH(X$8,Adaptive!$4:$4,0),FALSE),0)</f>
        <v>0</v>
      </c>
      <c r="Y76" s="6">
        <f t="shared" si="16"/>
        <v>1176.115305422099</v>
      </c>
      <c r="Z76" s="6" t="str">
        <f>_xlfn.XLOOKUP(B76,[1]Xref!$H:$H,[1]Xref!$A:$A)</f>
        <v>AU7389H</v>
      </c>
      <c r="AA76" s="6">
        <f t="shared" si="13"/>
        <v>0</v>
      </c>
      <c r="AB76" s="10">
        <f t="shared" si="14"/>
        <v>0</v>
      </c>
      <c r="AC76">
        <f t="shared" si="15"/>
        <v>0</v>
      </c>
      <c r="AM76">
        <f t="shared" si="17"/>
        <v>0</v>
      </c>
      <c r="AN76">
        <f t="shared" si="18"/>
        <v>0</v>
      </c>
    </row>
    <row r="77" spans="1:40">
      <c r="A77">
        <v>50</v>
      </c>
      <c r="B77">
        <v>244368</v>
      </c>
      <c r="C77" t="s">
        <v>288</v>
      </c>
      <c r="D77" t="s">
        <v>289</v>
      </c>
      <c r="E77" t="s">
        <v>290</v>
      </c>
      <c r="F77" s="19" t="s">
        <v>194</v>
      </c>
      <c r="G77">
        <v>215</v>
      </c>
      <c r="H77">
        <v>1500</v>
      </c>
      <c r="I77">
        <v>0</v>
      </c>
      <c r="J77">
        <v>1273</v>
      </c>
      <c r="K77">
        <v>0</v>
      </c>
      <c r="L77">
        <v>1272</v>
      </c>
      <c r="M77">
        <v>0</v>
      </c>
      <c r="N77">
        <v>0</v>
      </c>
      <c r="O77">
        <v>0</v>
      </c>
      <c r="P77">
        <v>830</v>
      </c>
      <c r="Q77">
        <f>IFERROR(VLOOKUP($E77,Adaptive!$A:$J,MATCH(Q$8,Adaptive!$4:$4,0),FALSE),0)</f>
        <v>1500</v>
      </c>
      <c r="R77">
        <f>IFERROR(VLOOKUP($E77,Adaptive!$A:$J,MATCH(R$8,Adaptive!$4:$4,0),FALSE),0)</f>
        <v>0</v>
      </c>
      <c r="S77">
        <f>IFERROR(VLOOKUP($E77,Adaptive!$A:$J,MATCH(S$8,Adaptive!$4:$4,0),FALSE),0)</f>
        <v>0</v>
      </c>
      <c r="T77">
        <f>IFERROR(VLOOKUP($E77,Adaptive!$A:$J,MATCH(T$8,Adaptive!$4:$4,0),FALSE),0)</f>
        <v>0</v>
      </c>
      <c r="U77">
        <f>IFERROR(VLOOKUP($E77,Adaptive!$A:$J,MATCH(U$8,Adaptive!$4:$4,0),FALSE),0)</f>
        <v>1500</v>
      </c>
      <c r="V77">
        <f>IFERROR(VLOOKUP($E77,Adaptive!$A:$J,MATCH(V$8,Adaptive!$4:$4,0),FALSE),0)</f>
        <v>0</v>
      </c>
      <c r="W77">
        <f>IFERROR(VLOOKUP($E77,Adaptive!$A:$J,MATCH(W$8,Adaptive!$4:$4,0),FALSE),0)</f>
        <v>0</v>
      </c>
      <c r="X77">
        <f>IFERROR(VLOOKUP($E77,Adaptive!$A:$J,MATCH(X$8,Adaptive!$4:$4,0),FALSE),0)</f>
        <v>0</v>
      </c>
      <c r="Y77" s="6">
        <f t="shared" si="16"/>
        <v>1176.115305422099</v>
      </c>
      <c r="Z77" s="6" t="str">
        <f>_xlfn.XLOOKUP(B77,[1]Xref!$H:$H,[1]Xref!$A:$A)</f>
        <v>AU7389H</v>
      </c>
      <c r="AA77" s="6">
        <f t="shared" si="13"/>
        <v>830</v>
      </c>
      <c r="AB77" s="10">
        <f t="shared" si="14"/>
        <v>1</v>
      </c>
      <c r="AC77">
        <f t="shared" si="15"/>
        <v>1</v>
      </c>
      <c r="AM77">
        <f t="shared" si="17"/>
        <v>0</v>
      </c>
      <c r="AN77">
        <f t="shared" si="18"/>
        <v>700</v>
      </c>
    </row>
    <row r="78" spans="1:40">
      <c r="A78" s="10">
        <v>10</v>
      </c>
      <c r="B78" s="10">
        <v>244704</v>
      </c>
      <c r="C78" t="s">
        <v>291</v>
      </c>
      <c r="D78" t="s">
        <v>292</v>
      </c>
      <c r="E78" t="s">
        <v>293</v>
      </c>
      <c r="F78" s="19" t="s">
        <v>294</v>
      </c>
      <c r="J78">
        <v>110</v>
      </c>
      <c r="M78">
        <v>0</v>
      </c>
      <c r="N78">
        <v>0</v>
      </c>
      <c r="O78">
        <v>0</v>
      </c>
      <c r="P78">
        <v>0</v>
      </c>
      <c r="Q78">
        <f>IFERROR(VLOOKUP($E78,Adaptive!$A:$J,MATCH(Q$8,Adaptive!$4:$4,0),FALSE),0)</f>
        <v>0</v>
      </c>
      <c r="R78">
        <f>IFERROR(VLOOKUP($E78,Adaptive!$A:$J,MATCH(R$8,Adaptive!$4:$4,0),FALSE),0)</f>
        <v>0</v>
      </c>
      <c r="S78">
        <f>IFERROR(VLOOKUP($E78,Adaptive!$A:$J,MATCH(S$8,Adaptive!$4:$4,0),FALSE),0)</f>
        <v>0</v>
      </c>
      <c r="T78">
        <f>IFERROR(VLOOKUP($E78,Adaptive!$A:$J,MATCH(T$8,Adaptive!$4:$4,0),FALSE),0)</f>
        <v>0</v>
      </c>
      <c r="U78">
        <f>IFERROR(VLOOKUP($E78,Adaptive!$A:$J,MATCH(U$8,Adaptive!$4:$4,0),FALSE),0)</f>
        <v>0</v>
      </c>
      <c r="V78">
        <f>IFERROR(VLOOKUP($E78,Adaptive!$A:$J,MATCH(V$8,Adaptive!$4:$4,0),FALSE),0)</f>
        <v>0</v>
      </c>
      <c r="W78">
        <f>IFERROR(VLOOKUP($E78,Adaptive!$A:$J,MATCH(W$8,Adaptive!$4:$4,0),FALSE),0)</f>
        <v>0</v>
      </c>
      <c r="X78">
        <f>IFERROR(VLOOKUP($E78,Adaptive!$A:$J,MATCH(X$8,Adaptive!$4:$4,0),FALSE),0)</f>
        <v>0</v>
      </c>
      <c r="Y78" s="6">
        <f t="shared" si="16"/>
        <v>1812.3744050766759</v>
      </c>
      <c r="Z78" s="6" t="str">
        <f>_xlfn.XLOOKUP(B78,[1]Xref!$H:$H,[1]Xref!$A:$A)</f>
        <v>AU4782K</v>
      </c>
      <c r="AA78" s="6">
        <f t="shared" si="13"/>
        <v>0</v>
      </c>
      <c r="AB78" s="10">
        <f t="shared" si="14"/>
        <v>0</v>
      </c>
      <c r="AC78">
        <f t="shared" si="15"/>
        <v>0</v>
      </c>
      <c r="AM78">
        <f t="shared" si="17"/>
        <v>0</v>
      </c>
      <c r="AN78">
        <f t="shared" si="18"/>
        <v>0</v>
      </c>
    </row>
    <row r="79" spans="1:40">
      <c r="A79">
        <v>50</v>
      </c>
      <c r="B79">
        <v>245347</v>
      </c>
      <c r="C79" t="s">
        <v>295</v>
      </c>
      <c r="D79" t="s">
        <v>296</v>
      </c>
      <c r="E79" t="s">
        <v>297</v>
      </c>
      <c r="F79">
        <v>2.5904761904761902</v>
      </c>
      <c r="G79">
        <v>10617</v>
      </c>
      <c r="H79">
        <v>14160</v>
      </c>
      <c r="I79">
        <v>12431</v>
      </c>
      <c r="J79">
        <v>14522</v>
      </c>
      <c r="K79">
        <v>0</v>
      </c>
      <c r="L79">
        <v>0</v>
      </c>
      <c r="M79">
        <v>0</v>
      </c>
      <c r="N79">
        <v>2176</v>
      </c>
      <c r="O79">
        <v>0</v>
      </c>
      <c r="P79">
        <v>0</v>
      </c>
      <c r="Q79">
        <f>IFERROR(VLOOKUP($E79,Adaptive!$A:$J,MATCH(Q$8,Adaptive!$4:$4,0),FALSE),0)</f>
        <v>4050</v>
      </c>
      <c r="R79">
        <f>IFERROR(VLOOKUP($E79,Adaptive!$A:$J,MATCH(R$8,Adaptive!$4:$4,0),FALSE),0)</f>
        <v>10110</v>
      </c>
      <c r="S79">
        <f>IFERROR(VLOOKUP($E79,Adaptive!$A:$J,MATCH(S$8,Adaptive!$4:$4,0),FALSE),0)</f>
        <v>0</v>
      </c>
      <c r="T79">
        <f>IFERROR(VLOOKUP($E79,Adaptive!$A:$J,MATCH(T$8,Adaptive!$4:$4,0),FALSE),0)</f>
        <v>0</v>
      </c>
      <c r="U79">
        <f>IFERROR(VLOOKUP($E79,Adaptive!$A:$J,MATCH(U$8,Adaptive!$4:$4,0),FALSE),0)</f>
        <v>14160</v>
      </c>
      <c r="V79">
        <f>IFERROR(VLOOKUP($E79,Adaptive!$A:$J,MATCH(V$8,Adaptive!$4:$4,0),FALSE),0)</f>
        <v>0</v>
      </c>
      <c r="W79">
        <f>IFERROR(VLOOKUP($E79,Adaptive!$A:$J,MATCH(W$8,Adaptive!$4:$4,0),FALSE),0)</f>
        <v>0</v>
      </c>
      <c r="X79">
        <f>IFERROR(VLOOKUP($E79,Adaptive!$A:$J,MATCH(X$8,Adaptive!$4:$4,0),FALSE),0)</f>
        <v>0</v>
      </c>
      <c r="Y79" s="6">
        <f t="shared" si="16"/>
        <v>1813.333333333333</v>
      </c>
      <c r="Z79" s="6" t="str">
        <f>_xlfn.XLOOKUP(B79,[1]Xref!$H:$H,[1]Xref!$A:$A)</f>
        <v>AU3426 Wide</v>
      </c>
      <c r="AA79" s="6">
        <f t="shared" si="13"/>
        <v>2176</v>
      </c>
      <c r="AB79" s="10">
        <f t="shared" si="14"/>
        <v>2</v>
      </c>
      <c r="AC79">
        <f t="shared" si="15"/>
        <v>2</v>
      </c>
      <c r="AM79">
        <f t="shared" si="17"/>
        <v>0</v>
      </c>
      <c r="AN79">
        <f t="shared" si="18"/>
        <v>1400</v>
      </c>
    </row>
    <row r="80" spans="1:40">
      <c r="A80" s="10">
        <v>50</v>
      </c>
      <c r="B80" s="10">
        <v>245387</v>
      </c>
      <c r="C80" t="s">
        <v>298</v>
      </c>
      <c r="D80" t="s">
        <v>299</v>
      </c>
      <c r="E80" t="s">
        <v>300</v>
      </c>
      <c r="F80" s="19" t="s">
        <v>147</v>
      </c>
      <c r="H80">
        <v>1950</v>
      </c>
      <c r="I80">
        <v>853</v>
      </c>
      <c r="J80">
        <v>0</v>
      </c>
      <c r="K80">
        <v>742</v>
      </c>
      <c r="L80">
        <v>0</v>
      </c>
      <c r="M80">
        <v>0</v>
      </c>
      <c r="N80">
        <v>0</v>
      </c>
      <c r="O80">
        <v>0</v>
      </c>
      <c r="P80">
        <v>0</v>
      </c>
      <c r="Q80">
        <f>IFERROR(VLOOKUP($E80,Adaptive!$A:$J,MATCH(Q$8,Adaptive!$4:$4,0),FALSE),0)</f>
        <v>1950</v>
      </c>
      <c r="R80">
        <f>IFERROR(VLOOKUP($E80,Adaptive!$A:$J,MATCH(R$8,Adaptive!$4:$4,0),FALSE),0)</f>
        <v>0</v>
      </c>
      <c r="S80">
        <f>IFERROR(VLOOKUP($E80,Adaptive!$A:$J,MATCH(S$8,Adaptive!$4:$4,0),FALSE),0)</f>
        <v>0</v>
      </c>
      <c r="T80">
        <f>IFERROR(VLOOKUP($E80,Adaptive!$A:$J,MATCH(T$8,Adaptive!$4:$4,0),FALSE),0)</f>
        <v>0</v>
      </c>
      <c r="U80">
        <f>IFERROR(VLOOKUP($E80,Adaptive!$A:$J,MATCH(U$8,Adaptive!$4:$4,0),FALSE),0)</f>
        <v>1950</v>
      </c>
      <c r="V80">
        <f>IFERROR(VLOOKUP($E80,Adaptive!$A:$J,MATCH(V$8,Adaptive!$4:$4,0),FALSE),0)</f>
        <v>0</v>
      </c>
      <c r="W80">
        <f>IFERROR(VLOOKUP($E80,Adaptive!$A:$J,MATCH(W$8,Adaptive!$4:$4,0),FALSE),0)</f>
        <v>0</v>
      </c>
      <c r="X80">
        <f>IFERROR(VLOOKUP($E80,Adaptive!$A:$J,MATCH(X$8,Adaptive!$4:$4,0),FALSE),0)</f>
        <v>0</v>
      </c>
      <c r="Y80" s="6">
        <f t="shared" si="16"/>
        <v>1420.895522388055</v>
      </c>
      <c r="Z80" s="6" t="str">
        <f>_xlfn.XLOOKUP(B80,[1]Xref!$H:$H,[1]Xref!$A:$A)</f>
        <v>AU4583</v>
      </c>
      <c r="AA80" s="6">
        <f t="shared" si="13"/>
        <v>0</v>
      </c>
      <c r="AB80" s="10">
        <f t="shared" si="14"/>
        <v>0</v>
      </c>
      <c r="AC80">
        <f t="shared" si="15"/>
        <v>0</v>
      </c>
      <c r="AM80">
        <f t="shared" si="17"/>
        <v>0</v>
      </c>
      <c r="AN80">
        <f t="shared" si="18"/>
        <v>0</v>
      </c>
    </row>
    <row r="81" spans="1:40">
      <c r="A81" s="10">
        <v>50</v>
      </c>
      <c r="B81" s="10">
        <v>245392</v>
      </c>
      <c r="C81" t="s">
        <v>301</v>
      </c>
      <c r="D81" t="s">
        <v>302</v>
      </c>
      <c r="E81" t="s">
        <v>303</v>
      </c>
      <c r="F81">
        <v>2.5904761904761902</v>
      </c>
      <c r="G81">
        <v>3750</v>
      </c>
      <c r="H81">
        <v>2100</v>
      </c>
      <c r="I81">
        <v>3484</v>
      </c>
      <c r="J81">
        <v>2120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f>IFERROR(VLOOKUP($E81,Adaptive!$A:$J,MATCH(Q$8,Adaptive!$4:$4,0),FALSE),0)</f>
        <v>0</v>
      </c>
      <c r="R81">
        <f>IFERROR(VLOOKUP($E81,Adaptive!$A:$J,MATCH(R$8,Adaptive!$4:$4,0),FALSE),0)</f>
        <v>2100</v>
      </c>
      <c r="S81">
        <f>IFERROR(VLOOKUP($E81,Adaptive!$A:$J,MATCH(S$8,Adaptive!$4:$4,0),FALSE),0)</f>
        <v>0</v>
      </c>
      <c r="T81">
        <f>IFERROR(VLOOKUP($E81,Adaptive!$A:$J,MATCH(T$8,Adaptive!$4:$4,0),FALSE),0)</f>
        <v>0</v>
      </c>
      <c r="U81">
        <f>IFERROR(VLOOKUP($E81,Adaptive!$A:$J,MATCH(U$8,Adaptive!$4:$4,0),FALSE),0)</f>
        <v>2100</v>
      </c>
      <c r="V81">
        <f>IFERROR(VLOOKUP($E81,Adaptive!$A:$J,MATCH(V$8,Adaptive!$4:$4,0),FALSE),0)</f>
        <v>0</v>
      </c>
      <c r="W81">
        <f>IFERROR(VLOOKUP($E81,Adaptive!$A:$J,MATCH(W$8,Adaptive!$4:$4,0),FALSE),0)</f>
        <v>0</v>
      </c>
      <c r="X81">
        <f>IFERROR(VLOOKUP($E81,Adaptive!$A:$J,MATCH(X$8,Adaptive!$4:$4,0),FALSE),0)</f>
        <v>0</v>
      </c>
      <c r="Y81" s="6">
        <f t="shared" si="16"/>
        <v>1813.333333333333</v>
      </c>
      <c r="Z81" s="6" t="str">
        <f>_xlfn.XLOOKUP(B81,[1]Xref!$H:$H,[1]Xref!$A:$A)</f>
        <v>AU3426 Wide</v>
      </c>
      <c r="AA81" s="6">
        <f t="shared" si="13"/>
        <v>0</v>
      </c>
      <c r="AB81" s="10">
        <f t="shared" si="14"/>
        <v>0</v>
      </c>
      <c r="AC81">
        <f t="shared" si="15"/>
        <v>0</v>
      </c>
      <c r="AM81">
        <f t="shared" si="17"/>
        <v>0</v>
      </c>
      <c r="AN81">
        <f t="shared" si="18"/>
        <v>0</v>
      </c>
    </row>
    <row r="82" spans="1:40">
      <c r="A82" s="10">
        <v>50</v>
      </c>
      <c r="B82" s="10">
        <v>245453</v>
      </c>
      <c r="C82" t="s">
        <v>304</v>
      </c>
      <c r="D82" t="s">
        <v>305</v>
      </c>
      <c r="E82" t="s">
        <v>306</v>
      </c>
      <c r="F82">
        <v>1.55477929501429</v>
      </c>
      <c r="G82">
        <v>2364</v>
      </c>
      <c r="I82">
        <v>2211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f>IFERROR(VLOOKUP($E82,Adaptive!$A:$J,MATCH(Q$8,Adaptive!$4:$4,0),FALSE),0)</f>
        <v>0</v>
      </c>
      <c r="R82">
        <f>IFERROR(VLOOKUP($E82,Adaptive!$A:$J,MATCH(R$8,Adaptive!$4:$4,0),FALSE),0)</f>
        <v>0</v>
      </c>
      <c r="S82">
        <f>IFERROR(VLOOKUP($E82,Adaptive!$A:$J,MATCH(S$8,Adaptive!$4:$4,0),FALSE),0)</f>
        <v>0</v>
      </c>
      <c r="T82">
        <f>IFERROR(VLOOKUP($E82,Adaptive!$A:$J,MATCH(T$8,Adaptive!$4:$4,0),FALSE),0)</f>
        <v>0</v>
      </c>
      <c r="U82">
        <f>IFERROR(VLOOKUP($E82,Adaptive!$A:$J,MATCH(U$8,Adaptive!$4:$4,0),FALSE),0)</f>
        <v>0</v>
      </c>
      <c r="V82">
        <f>IFERROR(VLOOKUP($E82,Adaptive!$A:$J,MATCH(V$8,Adaptive!$4:$4,0),FALSE),0)</f>
        <v>0</v>
      </c>
      <c r="W82">
        <f>IFERROR(VLOOKUP($E82,Adaptive!$A:$J,MATCH(W$8,Adaptive!$4:$4,0),FALSE),0)</f>
        <v>0</v>
      </c>
      <c r="X82">
        <f>IFERROR(VLOOKUP($E82,Adaptive!$A:$J,MATCH(X$8,Adaptive!$4:$4,0),FALSE),0)</f>
        <v>0</v>
      </c>
      <c r="Y82" s="6">
        <f t="shared" si="16"/>
        <v>1088.3455065100029</v>
      </c>
      <c r="Z82" s="6" t="str">
        <f>_xlfn.XLOOKUP(B82,[1]Xref!$H:$H,[1]Xref!$A:$A)</f>
        <v>AU7389H</v>
      </c>
      <c r="AA82" s="6">
        <f t="shared" si="13"/>
        <v>0</v>
      </c>
      <c r="AB82" s="10">
        <f t="shared" si="14"/>
        <v>0</v>
      </c>
      <c r="AC82">
        <f t="shared" si="15"/>
        <v>0</v>
      </c>
      <c r="AM82">
        <f t="shared" si="17"/>
        <v>0</v>
      </c>
      <c r="AN82">
        <f t="shared" si="18"/>
        <v>0</v>
      </c>
    </row>
    <row r="83" spans="1:40">
      <c r="A83" s="10">
        <v>50</v>
      </c>
      <c r="B83" s="10">
        <v>245763</v>
      </c>
      <c r="C83" t="s">
        <v>307</v>
      </c>
      <c r="D83" t="s">
        <v>308</v>
      </c>
      <c r="E83" t="s">
        <v>309</v>
      </c>
      <c r="F83" s="19" t="s">
        <v>211</v>
      </c>
      <c r="G83">
        <v>16784</v>
      </c>
      <c r="I83">
        <v>5251</v>
      </c>
      <c r="J83">
        <v>11554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f>IFERROR(VLOOKUP($E83,Adaptive!$A:$J,MATCH(Q$8,Adaptive!$4:$4,0),FALSE),0)</f>
        <v>0</v>
      </c>
      <c r="R83">
        <f>IFERROR(VLOOKUP($E83,Adaptive!$A:$J,MATCH(R$8,Adaptive!$4:$4,0),FALSE),0)</f>
        <v>0</v>
      </c>
      <c r="S83">
        <f>IFERROR(VLOOKUP($E83,Adaptive!$A:$J,MATCH(S$8,Adaptive!$4:$4,0),FALSE),0)</f>
        <v>0</v>
      </c>
      <c r="T83">
        <f>IFERROR(VLOOKUP($E83,Adaptive!$A:$J,MATCH(T$8,Adaptive!$4:$4,0),FALSE),0)</f>
        <v>0</v>
      </c>
      <c r="U83">
        <f>IFERROR(VLOOKUP($E83,Adaptive!$A:$J,MATCH(U$8,Adaptive!$4:$4,0),FALSE),0)</f>
        <v>0</v>
      </c>
      <c r="V83">
        <f>IFERROR(VLOOKUP($E83,Adaptive!$A:$J,MATCH(V$8,Adaptive!$4:$4,0),FALSE),0)</f>
        <v>0</v>
      </c>
      <c r="W83">
        <f>IFERROR(VLOOKUP($E83,Adaptive!$A:$J,MATCH(W$8,Adaptive!$4:$4,0),FALSE),0)</f>
        <v>0</v>
      </c>
      <c r="X83">
        <f>IFERROR(VLOOKUP($E83,Adaptive!$A:$J,MATCH(X$8,Adaptive!$4:$4,0),FALSE),0)</f>
        <v>0</v>
      </c>
      <c r="Y83" s="6">
        <f t="shared" si="16"/>
        <v>1139.3617021276559</v>
      </c>
      <c r="Z83" s="6" t="str">
        <f>_xlfn.XLOOKUP(B83,[1]Xref!$H:$H,[1]Xref!$A:$A)</f>
        <v>AU7389G</v>
      </c>
      <c r="AA83" s="6">
        <f t="shared" si="13"/>
        <v>0</v>
      </c>
      <c r="AB83" s="10">
        <f t="shared" si="14"/>
        <v>0</v>
      </c>
      <c r="AC83">
        <f t="shared" si="15"/>
        <v>0</v>
      </c>
      <c r="AM83">
        <f t="shared" si="17"/>
        <v>0</v>
      </c>
      <c r="AN83">
        <f t="shared" si="18"/>
        <v>0</v>
      </c>
    </row>
    <row r="84" spans="1:40">
      <c r="A84" s="10">
        <v>50</v>
      </c>
      <c r="B84" s="10">
        <v>245898</v>
      </c>
      <c r="C84" t="s">
        <v>310</v>
      </c>
      <c r="D84" t="s">
        <v>311</v>
      </c>
      <c r="E84" t="s">
        <v>312</v>
      </c>
      <c r="F84" s="19" t="s">
        <v>237</v>
      </c>
      <c r="G84">
        <v>9131</v>
      </c>
      <c r="I84">
        <v>1180</v>
      </c>
      <c r="J84">
        <v>0</v>
      </c>
      <c r="K84">
        <v>0</v>
      </c>
      <c r="L84">
        <v>3180</v>
      </c>
      <c r="M84">
        <v>0</v>
      </c>
      <c r="N84">
        <v>0</v>
      </c>
      <c r="O84">
        <v>0</v>
      </c>
      <c r="P84">
        <v>0</v>
      </c>
      <c r="Q84">
        <f>IFERROR(VLOOKUP($E84,Adaptive!$A:$J,MATCH(Q$8,Adaptive!$4:$4,0),FALSE),0)</f>
        <v>0</v>
      </c>
      <c r="R84">
        <f>IFERROR(VLOOKUP($E84,Adaptive!$A:$J,MATCH(R$8,Adaptive!$4:$4,0),FALSE),0)</f>
        <v>0</v>
      </c>
      <c r="S84">
        <f>IFERROR(VLOOKUP($E84,Adaptive!$A:$J,MATCH(S$8,Adaptive!$4:$4,0),FALSE),0)</f>
        <v>0</v>
      </c>
      <c r="T84">
        <f>IFERROR(VLOOKUP($E84,Adaptive!$A:$J,MATCH(T$8,Adaptive!$4:$4,0),FALSE),0)</f>
        <v>0</v>
      </c>
      <c r="U84">
        <f>IFERROR(VLOOKUP($E84,Adaptive!$A:$J,MATCH(U$8,Adaptive!$4:$4,0),FALSE),0)</f>
        <v>0</v>
      </c>
      <c r="V84">
        <f>IFERROR(VLOOKUP($E84,Adaptive!$A:$J,MATCH(V$8,Adaptive!$4:$4,0),FALSE),0)</f>
        <v>0</v>
      </c>
      <c r="W84">
        <f>IFERROR(VLOOKUP($E84,Adaptive!$A:$J,MATCH(W$8,Adaptive!$4:$4,0),FALSE),0)</f>
        <v>0</v>
      </c>
      <c r="X84">
        <f>IFERROR(VLOOKUP($E84,Adaptive!$A:$J,MATCH(X$8,Adaptive!$4:$4,0),FALSE),0)</f>
        <v>0</v>
      </c>
      <c r="Y84" s="6">
        <f t="shared" si="16"/>
        <v>1754.838709677417</v>
      </c>
      <c r="Z84" s="6" t="str">
        <f>_xlfn.XLOOKUP(B84,[1]Xref!$H:$H,[1]Xref!$A:$A)</f>
        <v>AU4782K</v>
      </c>
      <c r="AA84" s="6">
        <f t="shared" si="13"/>
        <v>0</v>
      </c>
      <c r="AB84" s="10">
        <f t="shared" si="14"/>
        <v>0</v>
      </c>
      <c r="AC84">
        <f t="shared" si="15"/>
        <v>0</v>
      </c>
      <c r="AM84">
        <f t="shared" si="17"/>
        <v>0</v>
      </c>
      <c r="AN84">
        <f t="shared" si="18"/>
        <v>0</v>
      </c>
    </row>
    <row r="85" spans="1:40">
      <c r="A85" s="23">
        <v>12</v>
      </c>
      <c r="B85" s="23">
        <v>245904</v>
      </c>
      <c r="C85" t="s">
        <v>313</v>
      </c>
      <c r="D85" t="s">
        <v>314</v>
      </c>
      <c r="E85" t="s">
        <v>315</v>
      </c>
      <c r="F85" s="19" t="s">
        <v>316</v>
      </c>
      <c r="I85">
        <v>10355</v>
      </c>
      <c r="M85">
        <v>10355</v>
      </c>
      <c r="Q85">
        <f>IFERROR(VLOOKUP($E85,Adaptive!$A:$J,MATCH(Q$8,Adaptive!$4:$4,0),FALSE),0)</f>
        <v>0</v>
      </c>
      <c r="R85">
        <f>IFERROR(VLOOKUP($E85,Adaptive!$A:$J,MATCH(R$8,Adaptive!$4:$4,0),FALSE),0)</f>
        <v>0</v>
      </c>
      <c r="S85">
        <f>IFERROR(VLOOKUP($E85,Adaptive!$A:$J,MATCH(S$8,Adaptive!$4:$4,0),FALSE),0)</f>
        <v>0</v>
      </c>
      <c r="T85">
        <f>IFERROR(VLOOKUP($E85,Adaptive!$A:$J,MATCH(T$8,Adaptive!$4:$4,0),FALSE),0)</f>
        <v>0</v>
      </c>
      <c r="U85">
        <f>IFERROR(VLOOKUP($E85,Adaptive!$A:$J,MATCH(U$8,Adaptive!$4:$4,0),FALSE),0)</f>
        <v>0</v>
      </c>
      <c r="V85">
        <f>IFERROR(VLOOKUP($E85,Adaptive!$A:$J,MATCH(V$8,Adaptive!$4:$4,0),FALSE),0)</f>
        <v>0</v>
      </c>
      <c r="W85">
        <f>IFERROR(VLOOKUP($E85,Adaptive!$A:$J,MATCH(W$8,Adaptive!$4:$4,0),FALSE),0)</f>
        <v>0</v>
      </c>
      <c r="X85">
        <f>IFERROR(VLOOKUP($E85,Adaptive!$A:$J,MATCH(X$8,Adaptive!$4:$4,0),FALSE),0)</f>
        <v>0</v>
      </c>
      <c r="Y85" s="6">
        <f t="shared" si="16"/>
        <v>2047.3118279569831</v>
      </c>
      <c r="Z85" s="6" t="str">
        <f>_xlfn.XLOOKUP(B85,[1]Xref!$H:$H,[1]Xref!$A:$A)</f>
        <v>AU5429D</v>
      </c>
      <c r="AA85" s="6">
        <f t="shared" si="13"/>
        <v>10355</v>
      </c>
      <c r="AB85" s="10">
        <f t="shared" si="14"/>
        <v>6</v>
      </c>
      <c r="AC85">
        <f t="shared" si="15"/>
        <v>2</v>
      </c>
      <c r="AL85">
        <v>1</v>
      </c>
      <c r="AM85">
        <f t="shared" si="17"/>
        <v>2800</v>
      </c>
      <c r="AN85">
        <f t="shared" si="18"/>
        <v>1400</v>
      </c>
    </row>
    <row r="86" spans="1:40">
      <c r="A86" s="10">
        <v>50</v>
      </c>
      <c r="B86" s="10">
        <v>246030</v>
      </c>
      <c r="C86" t="s">
        <v>317</v>
      </c>
      <c r="D86" t="s">
        <v>318</v>
      </c>
      <c r="E86" t="s">
        <v>319</v>
      </c>
      <c r="F86" s="19" t="s">
        <v>320</v>
      </c>
      <c r="G86">
        <v>10276</v>
      </c>
      <c r="I86">
        <v>2286</v>
      </c>
      <c r="J86">
        <v>7420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f>IFERROR(VLOOKUP($E86,Adaptive!$A:$J,MATCH(Q$8,Adaptive!$4:$4,0),FALSE),0)</f>
        <v>0</v>
      </c>
      <c r="R86">
        <f>IFERROR(VLOOKUP($E86,Adaptive!$A:$J,MATCH(R$8,Adaptive!$4:$4,0),FALSE),0)</f>
        <v>0</v>
      </c>
      <c r="S86">
        <f>IFERROR(VLOOKUP($E86,Adaptive!$A:$J,MATCH(S$8,Adaptive!$4:$4,0),FALSE),0)</f>
        <v>0</v>
      </c>
      <c r="T86">
        <f>IFERROR(VLOOKUP($E86,Adaptive!$A:$J,MATCH(T$8,Adaptive!$4:$4,0),FALSE),0)</f>
        <v>0</v>
      </c>
      <c r="U86">
        <f>IFERROR(VLOOKUP($E86,Adaptive!$A:$J,MATCH(U$8,Adaptive!$4:$4,0),FALSE),0)</f>
        <v>0</v>
      </c>
      <c r="V86">
        <f>IFERROR(VLOOKUP($E86,Adaptive!$A:$J,MATCH(V$8,Adaptive!$4:$4,0),FALSE),0)</f>
        <v>0</v>
      </c>
      <c r="W86">
        <f>IFERROR(VLOOKUP($E86,Adaptive!$A:$J,MATCH(W$8,Adaptive!$4:$4,0),FALSE),0)</f>
        <v>0</v>
      </c>
      <c r="X86">
        <f>IFERROR(VLOOKUP($E86,Adaptive!$A:$J,MATCH(X$8,Adaptive!$4:$4,0),FALSE),0)</f>
        <v>0</v>
      </c>
      <c r="Y86" s="6">
        <f t="shared" si="16"/>
        <v>1235.9177785791549</v>
      </c>
      <c r="Z86" s="6" t="str">
        <f>_xlfn.XLOOKUP(B86,[1]Xref!$H:$H,[1]Xref!$A:$A)</f>
        <v>AU7389G</v>
      </c>
      <c r="AA86" s="6">
        <f t="shared" si="13"/>
        <v>0</v>
      </c>
      <c r="AB86" s="10">
        <f t="shared" si="14"/>
        <v>0</v>
      </c>
      <c r="AC86">
        <f t="shared" si="15"/>
        <v>0</v>
      </c>
      <c r="AM86">
        <f t="shared" si="17"/>
        <v>0</v>
      </c>
      <c r="AN86">
        <f t="shared" si="18"/>
        <v>0</v>
      </c>
    </row>
    <row r="87" spans="1:40">
      <c r="A87">
        <v>50</v>
      </c>
      <c r="B87" t="s">
        <v>321</v>
      </c>
      <c r="C87" t="s">
        <v>322</v>
      </c>
      <c r="D87" t="s">
        <v>323</v>
      </c>
      <c r="E87" t="s">
        <v>324</v>
      </c>
      <c r="F87" s="19" t="s">
        <v>194</v>
      </c>
      <c r="G87">
        <v>805</v>
      </c>
      <c r="I87">
        <v>0</v>
      </c>
      <c r="J87">
        <v>0</v>
      </c>
      <c r="K87">
        <v>0</v>
      </c>
      <c r="L87">
        <v>1490</v>
      </c>
      <c r="M87">
        <v>0</v>
      </c>
      <c r="N87">
        <v>0</v>
      </c>
      <c r="O87">
        <v>0</v>
      </c>
      <c r="P87">
        <v>685</v>
      </c>
      <c r="Q87">
        <f>IFERROR(VLOOKUP($E87,Adaptive!$A:$J,MATCH(Q$8,Adaptive!$4:$4,0),FALSE),0)</f>
        <v>0</v>
      </c>
      <c r="R87">
        <f>IFERROR(VLOOKUP($E87,Adaptive!$A:$J,MATCH(R$8,Adaptive!$4:$4,0),FALSE),0)</f>
        <v>0</v>
      </c>
      <c r="S87">
        <f>IFERROR(VLOOKUP($E87,Adaptive!$A:$J,MATCH(S$8,Adaptive!$4:$4,0),FALSE),0)</f>
        <v>0</v>
      </c>
      <c r="T87">
        <f>IFERROR(VLOOKUP($E87,Adaptive!$A:$J,MATCH(T$8,Adaptive!$4:$4,0),FALSE),0)</f>
        <v>0</v>
      </c>
      <c r="U87">
        <f>IFERROR(VLOOKUP($E87,Adaptive!$A:$J,MATCH(U$8,Adaptive!$4:$4,0),FALSE),0)</f>
        <v>0</v>
      </c>
      <c r="V87">
        <f>IFERROR(VLOOKUP($E87,Adaptive!$A:$J,MATCH(V$8,Adaptive!$4:$4,0),FALSE),0)</f>
        <v>0</v>
      </c>
      <c r="W87">
        <f>IFERROR(VLOOKUP($E87,Adaptive!$A:$J,MATCH(W$8,Adaptive!$4:$4,0),FALSE),0)</f>
        <v>0</v>
      </c>
      <c r="X87">
        <f>IFERROR(VLOOKUP($E87,Adaptive!$A:$J,MATCH(X$8,Adaptive!$4:$4,0),FALSE),0)</f>
        <v>0</v>
      </c>
      <c r="Y87" s="6">
        <f t="shared" si="16"/>
        <v>1176.115305422099</v>
      </c>
      <c r="Z87" s="6" t="str">
        <f>_xlfn.XLOOKUP(B87,[1]Xref!$H:$H,[1]Xref!$A:$A)</f>
        <v>AU7389H</v>
      </c>
      <c r="AA87" s="6">
        <f t="shared" si="13"/>
        <v>685</v>
      </c>
      <c r="AB87" s="10">
        <f t="shared" si="14"/>
        <v>1</v>
      </c>
      <c r="AC87">
        <f t="shared" si="15"/>
        <v>1</v>
      </c>
      <c r="AM87">
        <f t="shared" si="17"/>
        <v>0</v>
      </c>
      <c r="AN87">
        <f t="shared" si="18"/>
        <v>700</v>
      </c>
    </row>
    <row r="88" spans="1:40">
      <c r="A88">
        <v>50</v>
      </c>
      <c r="B88">
        <v>246227</v>
      </c>
      <c r="C88" t="s">
        <v>325</v>
      </c>
      <c r="D88" t="s">
        <v>326</v>
      </c>
      <c r="E88" t="s">
        <v>327</v>
      </c>
      <c r="F88" s="19" t="s">
        <v>328</v>
      </c>
      <c r="I88">
        <v>696</v>
      </c>
      <c r="J88">
        <v>530</v>
      </c>
      <c r="K88">
        <v>0</v>
      </c>
      <c r="L88">
        <v>530</v>
      </c>
      <c r="M88">
        <v>696</v>
      </c>
      <c r="N88">
        <v>530</v>
      </c>
      <c r="O88">
        <v>0</v>
      </c>
      <c r="P88">
        <v>530</v>
      </c>
      <c r="Q88">
        <f>IFERROR(VLOOKUP($E88,Adaptive!$A:$J,MATCH(Q$8,Adaptive!$4:$4,0),FALSE),0)</f>
        <v>0</v>
      </c>
      <c r="R88">
        <f>IFERROR(VLOOKUP($E88,Adaptive!$A:$J,MATCH(R$8,Adaptive!$4:$4,0),FALSE),0)</f>
        <v>0</v>
      </c>
      <c r="S88">
        <f>IFERROR(VLOOKUP($E88,Adaptive!$A:$J,MATCH(S$8,Adaptive!$4:$4,0),FALSE),0)</f>
        <v>0</v>
      </c>
      <c r="T88">
        <f>IFERROR(VLOOKUP($E88,Adaptive!$A:$J,MATCH(T$8,Adaptive!$4:$4,0),FALSE),0)</f>
        <v>0</v>
      </c>
      <c r="U88">
        <f>IFERROR(VLOOKUP($E88,Adaptive!$A:$J,MATCH(U$8,Adaptive!$4:$4,0),FALSE),0)</f>
        <v>0</v>
      </c>
      <c r="V88">
        <f>IFERROR(VLOOKUP($E88,Adaptive!$A:$J,MATCH(V$8,Adaptive!$4:$4,0),FALSE),0)</f>
        <v>0</v>
      </c>
      <c r="W88">
        <f>IFERROR(VLOOKUP($E88,Adaptive!$A:$J,MATCH(W$8,Adaptive!$4:$4,0),FALSE),0)</f>
        <v>0</v>
      </c>
      <c r="X88">
        <f>IFERROR(VLOOKUP($E88,Adaptive!$A:$J,MATCH(X$8,Adaptive!$4:$4,0),FALSE),0)</f>
        <v>0</v>
      </c>
      <c r="Y88" s="6">
        <f t="shared" si="16"/>
        <v>1012.765957446803</v>
      </c>
      <c r="Z88" s="6" t="str">
        <f>_xlfn.XLOOKUP(B88,[1]Xref!$H:$H,[1]Xref!$A:$A)</f>
        <v>AU7538B</v>
      </c>
      <c r="AA88" s="6">
        <f t="shared" si="13"/>
        <v>1756</v>
      </c>
      <c r="AB88" s="10">
        <f t="shared" si="14"/>
        <v>2</v>
      </c>
      <c r="AC88">
        <f t="shared" si="15"/>
        <v>2</v>
      </c>
      <c r="AM88">
        <f t="shared" si="17"/>
        <v>0</v>
      </c>
      <c r="AN88">
        <f t="shared" si="18"/>
        <v>1400</v>
      </c>
    </row>
    <row r="89" spans="1:40">
      <c r="A89">
        <v>50</v>
      </c>
      <c r="B89">
        <v>246229</v>
      </c>
      <c r="C89" t="s">
        <v>329</v>
      </c>
      <c r="D89" t="s">
        <v>330</v>
      </c>
      <c r="E89" t="s">
        <v>331</v>
      </c>
      <c r="F89" s="19" t="s">
        <v>268</v>
      </c>
      <c r="I89">
        <v>318</v>
      </c>
      <c r="J89">
        <v>424</v>
      </c>
      <c r="K89">
        <v>0</v>
      </c>
      <c r="L89">
        <v>0</v>
      </c>
      <c r="M89">
        <v>318</v>
      </c>
      <c r="N89">
        <v>424</v>
      </c>
      <c r="O89">
        <v>0</v>
      </c>
      <c r="P89">
        <v>0</v>
      </c>
      <c r="Q89">
        <f>IFERROR(VLOOKUP($E89,Adaptive!$A:$J,MATCH(Q$8,Adaptive!$4:$4,0),FALSE),0)</f>
        <v>0</v>
      </c>
      <c r="R89">
        <f>IFERROR(VLOOKUP($E89,Adaptive!$A:$J,MATCH(R$8,Adaptive!$4:$4,0),FALSE),0)</f>
        <v>0</v>
      </c>
      <c r="S89">
        <f>IFERROR(VLOOKUP($E89,Adaptive!$A:$J,MATCH(S$8,Adaptive!$4:$4,0),FALSE),0)</f>
        <v>0</v>
      </c>
      <c r="T89">
        <f>IFERROR(VLOOKUP($E89,Adaptive!$A:$J,MATCH(T$8,Adaptive!$4:$4,0),FALSE),0)</f>
        <v>0</v>
      </c>
      <c r="U89">
        <f>IFERROR(VLOOKUP($E89,Adaptive!$A:$J,MATCH(U$8,Adaptive!$4:$4,0),FALSE),0)</f>
        <v>0</v>
      </c>
      <c r="V89">
        <f>IFERROR(VLOOKUP($E89,Adaptive!$A:$J,MATCH(V$8,Adaptive!$4:$4,0),FALSE),0)</f>
        <v>0</v>
      </c>
      <c r="W89">
        <f>IFERROR(VLOOKUP($E89,Adaptive!$A:$J,MATCH(W$8,Adaptive!$4:$4,0),FALSE),0)</f>
        <v>0</v>
      </c>
      <c r="X89">
        <f>IFERROR(VLOOKUP($E89,Adaptive!$A:$J,MATCH(X$8,Adaptive!$4:$4,0),FALSE),0)</f>
        <v>0</v>
      </c>
      <c r="Y89" s="6">
        <f t="shared" si="16"/>
        <v>998.89245118040697</v>
      </c>
      <c r="Z89" s="6" t="str">
        <f>_xlfn.XLOOKUP(B89,[1]Xref!$H:$H,[1]Xref!$A:$A)</f>
        <v>AU7538B</v>
      </c>
      <c r="AA89" s="6">
        <f t="shared" si="13"/>
        <v>742</v>
      </c>
      <c r="AB89" s="10">
        <f t="shared" si="14"/>
        <v>1</v>
      </c>
      <c r="AC89">
        <f t="shared" si="15"/>
        <v>1</v>
      </c>
      <c r="AM89">
        <f t="shared" si="17"/>
        <v>0</v>
      </c>
      <c r="AN89">
        <f t="shared" si="18"/>
        <v>700</v>
      </c>
    </row>
    <row r="90" spans="1:40">
      <c r="A90" s="23">
        <v>50</v>
      </c>
      <c r="B90" s="23">
        <v>246230</v>
      </c>
      <c r="C90" t="s">
        <v>332</v>
      </c>
      <c r="D90" t="s">
        <v>333</v>
      </c>
      <c r="E90" t="s">
        <v>334</v>
      </c>
      <c r="F90" s="19" t="s">
        <v>335</v>
      </c>
      <c r="G90">
        <v>825</v>
      </c>
      <c r="I90">
        <v>5008</v>
      </c>
      <c r="J90">
        <v>5618</v>
      </c>
      <c r="K90">
        <v>6956</v>
      </c>
      <c r="L90">
        <v>0</v>
      </c>
      <c r="M90">
        <v>4183</v>
      </c>
      <c r="N90">
        <v>5618</v>
      </c>
      <c r="O90">
        <v>6956</v>
      </c>
      <c r="P90">
        <v>0</v>
      </c>
      <c r="Q90">
        <f>IFERROR(VLOOKUP($E90,Adaptive!$A:$J,MATCH(Q$8,Adaptive!$4:$4,0),FALSE),0)</f>
        <v>0</v>
      </c>
      <c r="R90">
        <f>IFERROR(VLOOKUP($E90,Adaptive!$A:$J,MATCH(R$8,Adaptive!$4:$4,0),FALSE),0)</f>
        <v>0</v>
      </c>
      <c r="S90">
        <f>IFERROR(VLOOKUP($E90,Adaptive!$A:$J,MATCH(S$8,Adaptive!$4:$4,0),FALSE),0)</f>
        <v>0</v>
      </c>
      <c r="T90">
        <f>IFERROR(VLOOKUP($E90,Adaptive!$A:$J,MATCH(T$8,Adaptive!$4:$4,0),FALSE),0)</f>
        <v>0</v>
      </c>
      <c r="U90">
        <f>IFERROR(VLOOKUP($E90,Adaptive!$A:$J,MATCH(U$8,Adaptive!$4:$4,0),FALSE),0)</f>
        <v>0</v>
      </c>
      <c r="V90">
        <f>IFERROR(VLOOKUP($E90,Adaptive!$A:$J,MATCH(V$8,Adaptive!$4:$4,0),FALSE),0)</f>
        <v>0</v>
      </c>
      <c r="W90">
        <f>IFERROR(VLOOKUP($E90,Adaptive!$A:$J,MATCH(W$8,Adaptive!$4:$4,0),FALSE),0)</f>
        <v>0</v>
      </c>
      <c r="X90">
        <f>IFERROR(VLOOKUP($E90,Adaptive!$A:$J,MATCH(X$8,Adaptive!$4:$4,0),FALSE),0)</f>
        <v>0</v>
      </c>
      <c r="Y90" s="6">
        <f t="shared" si="16"/>
        <v>1429.7872340425522</v>
      </c>
      <c r="Z90" s="6" t="str">
        <f>_xlfn.XLOOKUP(B90,[1]Xref!$H:$H,[1]Xref!$A:$A)</f>
        <v>AU7538B</v>
      </c>
      <c r="AA90" s="6">
        <f t="shared" si="13"/>
        <v>16757</v>
      </c>
      <c r="AB90" s="10">
        <f t="shared" si="14"/>
        <v>12</v>
      </c>
      <c r="AC90">
        <f t="shared" si="15"/>
        <v>10</v>
      </c>
      <c r="AH90">
        <v>1</v>
      </c>
      <c r="AM90">
        <f t="shared" si="17"/>
        <v>1400</v>
      </c>
      <c r="AN90">
        <f t="shared" si="18"/>
        <v>7000</v>
      </c>
    </row>
    <row r="91" spans="1:40">
      <c r="A91">
        <v>12</v>
      </c>
      <c r="B91">
        <v>246262</v>
      </c>
      <c r="C91" t="s">
        <v>336</v>
      </c>
      <c r="D91" t="s">
        <v>337</v>
      </c>
      <c r="E91" t="s">
        <v>338</v>
      </c>
      <c r="F91" s="19" t="s">
        <v>339</v>
      </c>
      <c r="I91">
        <v>1159</v>
      </c>
      <c r="M91">
        <v>1159</v>
      </c>
      <c r="Q91">
        <f>IFERROR(VLOOKUP($E91,Adaptive!$A:$J,MATCH(Q$8,Adaptive!$4:$4,0),FALSE),0)</f>
        <v>0</v>
      </c>
      <c r="R91">
        <f>IFERROR(VLOOKUP($E91,Adaptive!$A:$J,MATCH(R$8,Adaptive!$4:$4,0),FALSE),0)</f>
        <v>0</v>
      </c>
      <c r="S91">
        <f>IFERROR(VLOOKUP($E91,Adaptive!$A:$J,MATCH(S$8,Adaptive!$4:$4,0),FALSE),0)</f>
        <v>0</v>
      </c>
      <c r="T91">
        <f>IFERROR(VLOOKUP($E91,Adaptive!$A:$J,MATCH(T$8,Adaptive!$4:$4,0),FALSE),0)</f>
        <v>0</v>
      </c>
      <c r="U91">
        <f>IFERROR(VLOOKUP($E91,Adaptive!$A:$J,MATCH(U$8,Adaptive!$4:$4,0),FALSE),0)</f>
        <v>0</v>
      </c>
      <c r="V91">
        <f>IFERROR(VLOOKUP($E91,Adaptive!$A:$J,MATCH(V$8,Adaptive!$4:$4,0),FALSE),0)</f>
        <v>0</v>
      </c>
      <c r="W91">
        <f>IFERROR(VLOOKUP($E91,Adaptive!$A:$J,MATCH(W$8,Adaptive!$4:$4,0),FALSE),0)</f>
        <v>0</v>
      </c>
      <c r="X91">
        <f>IFERROR(VLOOKUP($E91,Adaptive!$A:$J,MATCH(X$8,Adaptive!$4:$4,0),FALSE),0)</f>
        <v>0</v>
      </c>
      <c r="Y91" s="6">
        <f t="shared" si="16"/>
        <v>2077.090909090904</v>
      </c>
      <c r="Z91" s="6" t="str">
        <f>_xlfn.XLOOKUP(B91,[1]Xref!$H:$H,[1]Xref!$A:$A)</f>
        <v>AU3426</v>
      </c>
      <c r="AA91" s="6">
        <f t="shared" si="13"/>
        <v>1159</v>
      </c>
      <c r="AB91" s="10">
        <f t="shared" si="14"/>
        <v>1</v>
      </c>
      <c r="AC91">
        <f t="shared" si="15"/>
        <v>1</v>
      </c>
      <c r="AM91">
        <f t="shared" si="17"/>
        <v>0</v>
      </c>
      <c r="AN91">
        <f t="shared" si="18"/>
        <v>700</v>
      </c>
    </row>
    <row r="92" spans="1:40">
      <c r="A92">
        <v>12</v>
      </c>
      <c r="B92">
        <v>246264</v>
      </c>
      <c r="C92" t="s">
        <v>340</v>
      </c>
      <c r="D92" t="s">
        <v>341</v>
      </c>
      <c r="E92" t="s">
        <v>342</v>
      </c>
      <c r="F92">
        <v>2.924731183</v>
      </c>
      <c r="I92">
        <v>949</v>
      </c>
      <c r="M92">
        <v>949</v>
      </c>
      <c r="Q92">
        <f>IFERROR(VLOOKUP($E92,Adaptive!$A:$J,MATCH(Q$8,Adaptive!$4:$4,0),FALSE),0)</f>
        <v>0</v>
      </c>
      <c r="R92">
        <f>IFERROR(VLOOKUP($E92,Adaptive!$A:$J,MATCH(R$8,Adaptive!$4:$4,0),FALSE),0)</f>
        <v>0</v>
      </c>
      <c r="S92">
        <f>IFERROR(VLOOKUP($E92,Adaptive!$A:$J,MATCH(S$8,Adaptive!$4:$4,0),FALSE),0)</f>
        <v>0</v>
      </c>
      <c r="T92">
        <f>IFERROR(VLOOKUP($E92,Adaptive!$A:$J,MATCH(T$8,Adaptive!$4:$4,0),FALSE),0)</f>
        <v>0</v>
      </c>
      <c r="U92">
        <f>IFERROR(VLOOKUP($E92,Adaptive!$A:$J,MATCH(U$8,Adaptive!$4:$4,0),FALSE),0)</f>
        <v>0</v>
      </c>
      <c r="V92">
        <f>IFERROR(VLOOKUP($E92,Adaptive!$A:$J,MATCH(V$8,Adaptive!$4:$4,0),FALSE),0)</f>
        <v>0</v>
      </c>
      <c r="W92">
        <f>IFERROR(VLOOKUP($E92,Adaptive!$A:$J,MATCH(W$8,Adaptive!$4:$4,0),FALSE),0)</f>
        <v>0</v>
      </c>
      <c r="X92">
        <f>IFERROR(VLOOKUP($E92,Adaptive!$A:$J,MATCH(X$8,Adaptive!$4:$4,0),FALSE),0)</f>
        <v>0</v>
      </c>
      <c r="Y92" s="6">
        <f t="shared" si="16"/>
        <v>2047.3118281</v>
      </c>
      <c r="Z92" s="6" t="str">
        <f>_xlfn.XLOOKUP(B92,[1]Xref!$H:$H,[1]Xref!$A:$A)</f>
        <v>AU5429D</v>
      </c>
      <c r="AA92" s="6">
        <f t="shared" si="13"/>
        <v>949</v>
      </c>
      <c r="AB92" s="10">
        <f t="shared" si="14"/>
        <v>1</v>
      </c>
      <c r="AC92">
        <f t="shared" si="15"/>
        <v>1</v>
      </c>
      <c r="AM92">
        <f t="shared" si="17"/>
        <v>0</v>
      </c>
      <c r="AN92">
        <f t="shared" si="18"/>
        <v>700</v>
      </c>
    </row>
    <row r="93" spans="1:40">
      <c r="A93">
        <v>12</v>
      </c>
      <c r="B93">
        <v>246293</v>
      </c>
      <c r="C93" t="s">
        <v>343</v>
      </c>
      <c r="D93" t="s">
        <v>344</v>
      </c>
      <c r="E93" t="s">
        <v>345</v>
      </c>
      <c r="F93" s="19" t="s">
        <v>124</v>
      </c>
      <c r="G93">
        <v>572</v>
      </c>
      <c r="I93">
        <v>1241</v>
      </c>
      <c r="M93">
        <v>669</v>
      </c>
      <c r="Q93">
        <f>IFERROR(VLOOKUP($E93,Adaptive!$A:$J,MATCH(Q$8,Adaptive!$4:$4,0),FALSE),0)</f>
        <v>0</v>
      </c>
      <c r="R93">
        <f>IFERROR(VLOOKUP($E93,Adaptive!$A:$J,MATCH(R$8,Adaptive!$4:$4,0),FALSE),0)</f>
        <v>0</v>
      </c>
      <c r="S93">
        <f>IFERROR(VLOOKUP($E93,Adaptive!$A:$J,MATCH(S$8,Adaptive!$4:$4,0),FALSE),0)</f>
        <v>0</v>
      </c>
      <c r="T93">
        <f>IFERROR(VLOOKUP($E93,Adaptive!$A:$J,MATCH(T$8,Adaptive!$4:$4,0),FALSE),0)</f>
        <v>0</v>
      </c>
      <c r="U93">
        <f>IFERROR(VLOOKUP($E93,Adaptive!$A:$J,MATCH(U$8,Adaptive!$4:$4,0),FALSE),0)</f>
        <v>0</v>
      </c>
      <c r="V93">
        <f>IFERROR(VLOOKUP($E93,Adaptive!$A:$J,MATCH(V$8,Adaptive!$4:$4,0),FALSE),0)</f>
        <v>0</v>
      </c>
      <c r="W93">
        <f>IFERROR(VLOOKUP($E93,Adaptive!$A:$J,MATCH(W$8,Adaptive!$4:$4,0),FALSE),0)</f>
        <v>0</v>
      </c>
      <c r="X93">
        <f>IFERROR(VLOOKUP($E93,Adaptive!$A:$J,MATCH(X$8,Adaptive!$4:$4,0),FALSE),0)</f>
        <v>0</v>
      </c>
      <c r="Y93" s="6">
        <f t="shared" si="16"/>
        <v>1279.2833146696471</v>
      </c>
      <c r="Z93" s="6" t="str">
        <f>_xlfn.XLOOKUP(B93,[1]Xref!$H:$H,[1]Xref!$A:$A)</f>
        <v>AU7389G</v>
      </c>
      <c r="AA93" s="6">
        <f t="shared" si="13"/>
        <v>669</v>
      </c>
      <c r="AB93" s="10">
        <f t="shared" si="14"/>
        <v>1</v>
      </c>
      <c r="AC93">
        <f t="shared" si="15"/>
        <v>1</v>
      </c>
      <c r="AM93">
        <f t="shared" si="17"/>
        <v>0</v>
      </c>
      <c r="AN93">
        <f t="shared" si="18"/>
        <v>700</v>
      </c>
    </row>
    <row r="94" spans="1:40">
      <c r="A94" s="10">
        <v>12</v>
      </c>
      <c r="B94" s="10">
        <v>246294</v>
      </c>
      <c r="C94" t="s">
        <v>346</v>
      </c>
      <c r="D94" t="s">
        <v>347</v>
      </c>
      <c r="E94" t="s">
        <v>348</v>
      </c>
      <c r="F94" s="19" t="s">
        <v>124</v>
      </c>
      <c r="G94">
        <v>6155</v>
      </c>
      <c r="I94">
        <v>4652</v>
      </c>
      <c r="M94">
        <v>0</v>
      </c>
      <c r="N94">
        <v>0</v>
      </c>
      <c r="O94">
        <v>0</v>
      </c>
      <c r="P94">
        <v>0</v>
      </c>
      <c r="Q94">
        <f>IFERROR(VLOOKUP($E94,Adaptive!$A:$J,MATCH(Q$8,Adaptive!$4:$4,0),FALSE),0)</f>
        <v>0</v>
      </c>
      <c r="R94">
        <f>IFERROR(VLOOKUP($E94,Adaptive!$A:$J,MATCH(R$8,Adaptive!$4:$4,0),FALSE),0)</f>
        <v>0</v>
      </c>
      <c r="S94">
        <f>IFERROR(VLOOKUP($E94,Adaptive!$A:$J,MATCH(S$8,Adaptive!$4:$4,0),FALSE),0)</f>
        <v>0</v>
      </c>
      <c r="T94">
        <f>IFERROR(VLOOKUP($E94,Adaptive!$A:$J,MATCH(T$8,Adaptive!$4:$4,0),FALSE),0)</f>
        <v>0</v>
      </c>
      <c r="U94">
        <f>IFERROR(VLOOKUP($E94,Adaptive!$A:$J,MATCH(U$8,Adaptive!$4:$4,0),FALSE),0)</f>
        <v>0</v>
      </c>
      <c r="V94">
        <f>IFERROR(VLOOKUP($E94,Adaptive!$A:$J,MATCH(V$8,Adaptive!$4:$4,0),FALSE),0)</f>
        <v>0</v>
      </c>
      <c r="W94">
        <f>IFERROR(VLOOKUP($E94,Adaptive!$A:$J,MATCH(W$8,Adaptive!$4:$4,0),FALSE),0)</f>
        <v>0</v>
      </c>
      <c r="X94">
        <f>IFERROR(VLOOKUP($E94,Adaptive!$A:$J,MATCH(X$8,Adaptive!$4:$4,0),FALSE),0)</f>
        <v>0</v>
      </c>
      <c r="Y94" s="6">
        <f t="shared" si="16"/>
        <v>1279.2833146696471</v>
      </c>
      <c r="Z94" s="6" t="str">
        <f>_xlfn.XLOOKUP(B94,[1]Xref!$H:$H,[1]Xref!$A:$A)</f>
        <v>AU7389G</v>
      </c>
      <c r="AA94" s="6">
        <f t="shared" si="13"/>
        <v>0</v>
      </c>
      <c r="AB94" s="10">
        <f t="shared" si="14"/>
        <v>0</v>
      </c>
      <c r="AC94">
        <f t="shared" si="15"/>
        <v>0</v>
      </c>
      <c r="AM94">
        <f t="shared" si="17"/>
        <v>0</v>
      </c>
      <c r="AN94">
        <f t="shared" si="18"/>
        <v>0</v>
      </c>
    </row>
    <row r="95" spans="1:40">
      <c r="A95" s="23">
        <v>1250</v>
      </c>
      <c r="B95" s="23">
        <v>246416</v>
      </c>
      <c r="C95" t="s">
        <v>349</v>
      </c>
      <c r="D95" t="s">
        <v>350</v>
      </c>
      <c r="E95" t="s">
        <v>351</v>
      </c>
      <c r="F95" s="19" t="s">
        <v>78</v>
      </c>
      <c r="G95">
        <v>1931</v>
      </c>
      <c r="I95">
        <v>16866</v>
      </c>
      <c r="J95">
        <v>7651</v>
      </c>
      <c r="K95">
        <v>0</v>
      </c>
      <c r="L95">
        <v>12720</v>
      </c>
      <c r="M95">
        <v>14935</v>
      </c>
      <c r="N95">
        <v>7651</v>
      </c>
      <c r="O95">
        <v>0</v>
      </c>
      <c r="P95">
        <v>12720</v>
      </c>
      <c r="Q95">
        <f>IFERROR(VLOOKUP($E95,Adaptive!$A:$J,MATCH(Q$8,Adaptive!$4:$4,0),FALSE),0)</f>
        <v>0</v>
      </c>
      <c r="R95">
        <f>IFERROR(VLOOKUP($E95,Adaptive!$A:$J,MATCH(R$8,Adaptive!$4:$4,0),FALSE),0)</f>
        <v>0</v>
      </c>
      <c r="S95">
        <f>IFERROR(VLOOKUP($E95,Adaptive!$A:$J,MATCH(S$8,Adaptive!$4:$4,0),FALSE),0)</f>
        <v>0</v>
      </c>
      <c r="T95">
        <f>IFERROR(VLOOKUP($E95,Adaptive!$A:$J,MATCH(T$8,Adaptive!$4:$4,0),FALSE),0)</f>
        <v>0</v>
      </c>
      <c r="U95">
        <f>IFERROR(VLOOKUP($E95,Adaptive!$A:$J,MATCH(U$8,Adaptive!$4:$4,0),FALSE),0)</f>
        <v>0</v>
      </c>
      <c r="V95">
        <f>IFERROR(VLOOKUP($E95,Adaptive!$A:$J,MATCH(V$8,Adaptive!$4:$4,0),FALSE),0)</f>
        <v>0</v>
      </c>
      <c r="W95">
        <f>IFERROR(VLOOKUP($E95,Adaptive!$A:$J,MATCH(W$8,Adaptive!$4:$4,0),FALSE),0)</f>
        <v>0</v>
      </c>
      <c r="X95">
        <f>IFERROR(VLOOKUP($E95,Adaptive!$A:$J,MATCH(X$8,Adaptive!$4:$4,0),FALSE),0)</f>
        <v>0</v>
      </c>
      <c r="Y95" s="6">
        <f t="shared" si="16"/>
        <v>1298.1818181818151</v>
      </c>
      <c r="Z95" s="6" t="str">
        <f>_xlfn.XLOOKUP(B95,[1]Xref!$H:$H,[1]Xref!$A:$A)</f>
        <v>AU4398</v>
      </c>
      <c r="AA95" s="6">
        <f t="shared" si="13"/>
        <v>35306</v>
      </c>
      <c r="AB95" s="10">
        <f t="shared" si="14"/>
        <v>28</v>
      </c>
      <c r="AC95">
        <f t="shared" si="15"/>
        <v>20</v>
      </c>
      <c r="AK95">
        <v>2</v>
      </c>
      <c r="AM95">
        <f t="shared" si="17"/>
        <v>5600</v>
      </c>
      <c r="AN95">
        <f t="shared" si="18"/>
        <v>14000</v>
      </c>
    </row>
    <row r="96" spans="1:40">
      <c r="A96" s="10">
        <v>50</v>
      </c>
      <c r="B96" s="10">
        <v>246884</v>
      </c>
      <c r="C96" t="s">
        <v>352</v>
      </c>
      <c r="D96" t="s">
        <v>353</v>
      </c>
      <c r="E96" t="s">
        <v>354</v>
      </c>
      <c r="F96">
        <v>1.6347791245116701</v>
      </c>
      <c r="G96">
        <v>605</v>
      </c>
      <c r="I96">
        <v>0</v>
      </c>
      <c r="J96">
        <v>0</v>
      </c>
      <c r="K96">
        <v>85</v>
      </c>
      <c r="L96">
        <v>0</v>
      </c>
      <c r="M96">
        <v>0</v>
      </c>
      <c r="N96">
        <v>0</v>
      </c>
      <c r="O96">
        <v>0</v>
      </c>
      <c r="P96">
        <v>0</v>
      </c>
      <c r="Q96">
        <f>IFERROR(VLOOKUP($E96,Adaptive!$A:$J,MATCH(Q$8,Adaptive!$4:$4,0),FALSE),0)</f>
        <v>0</v>
      </c>
      <c r="R96">
        <f>IFERROR(VLOOKUP($E96,Adaptive!$A:$J,MATCH(R$8,Adaptive!$4:$4,0),FALSE),0)</f>
        <v>0</v>
      </c>
      <c r="S96">
        <f>IFERROR(VLOOKUP($E96,Adaptive!$A:$J,MATCH(S$8,Adaptive!$4:$4,0),FALSE),0)</f>
        <v>0</v>
      </c>
      <c r="T96">
        <f>IFERROR(VLOOKUP($E96,Adaptive!$A:$J,MATCH(T$8,Adaptive!$4:$4,0),FALSE),0)</f>
        <v>0</v>
      </c>
      <c r="U96">
        <f>IFERROR(VLOOKUP($E96,Adaptive!$A:$J,MATCH(U$8,Adaptive!$4:$4,0),FALSE),0)</f>
        <v>0</v>
      </c>
      <c r="V96">
        <f>IFERROR(VLOOKUP($E96,Adaptive!$A:$J,MATCH(V$8,Adaptive!$4:$4,0),FALSE),0)</f>
        <v>0</v>
      </c>
      <c r="W96">
        <f>IFERROR(VLOOKUP($E96,Adaptive!$A:$J,MATCH(W$8,Adaptive!$4:$4,0),FALSE),0)</f>
        <v>0</v>
      </c>
      <c r="X96">
        <f>IFERROR(VLOOKUP($E96,Adaptive!$A:$J,MATCH(X$8,Adaptive!$4:$4,0),FALSE),0)</f>
        <v>0</v>
      </c>
      <c r="Y96" s="6">
        <f t="shared" si="16"/>
        <v>1144.3453871581692</v>
      </c>
      <c r="Z96" s="6" t="str">
        <f>_xlfn.XLOOKUP(B96,[1]Xref!$H:$H,[1]Xref!$A:$A)</f>
        <v>AU7389H</v>
      </c>
      <c r="AA96" s="6">
        <f t="shared" si="13"/>
        <v>0</v>
      </c>
      <c r="AB96" s="10">
        <f t="shared" si="14"/>
        <v>0</v>
      </c>
      <c r="AC96">
        <f t="shared" si="15"/>
        <v>0</v>
      </c>
      <c r="AM96">
        <f t="shared" si="17"/>
        <v>0</v>
      </c>
      <c r="AN96">
        <f t="shared" si="18"/>
        <v>0</v>
      </c>
    </row>
    <row r="97" spans="1:40">
      <c r="A97">
        <v>50</v>
      </c>
      <c r="B97">
        <v>247298</v>
      </c>
      <c r="C97" t="s">
        <v>355</v>
      </c>
      <c r="D97" t="s">
        <v>356</v>
      </c>
      <c r="E97" t="s">
        <v>357</v>
      </c>
      <c r="F97" s="19" t="s">
        <v>320</v>
      </c>
      <c r="G97">
        <v>3234</v>
      </c>
      <c r="H97">
        <v>11198</v>
      </c>
      <c r="I97">
        <v>1432</v>
      </c>
      <c r="J97">
        <v>25758</v>
      </c>
      <c r="K97">
        <v>1590</v>
      </c>
      <c r="L97">
        <v>0</v>
      </c>
      <c r="M97">
        <v>0</v>
      </c>
      <c r="N97">
        <v>12758</v>
      </c>
      <c r="O97">
        <v>1590</v>
      </c>
      <c r="P97">
        <v>0</v>
      </c>
      <c r="Q97">
        <f>IFERROR(VLOOKUP($E97,Adaptive!$A:$J,MATCH(Q$8,Adaptive!$4:$4,0),FALSE),0)</f>
        <v>5000</v>
      </c>
      <c r="R97">
        <f>IFERROR(VLOOKUP($E97,Adaptive!$A:$J,MATCH(R$8,Adaptive!$4:$4,0),FALSE),0)</f>
        <v>0</v>
      </c>
      <c r="S97">
        <f>IFERROR(VLOOKUP($E97,Adaptive!$A:$J,MATCH(S$8,Adaptive!$4:$4,0),FALSE),0)</f>
        <v>0</v>
      </c>
      <c r="T97">
        <f>IFERROR(VLOOKUP($E97,Adaptive!$A:$J,MATCH(T$8,Adaptive!$4:$4,0),FALSE),0)</f>
        <v>6198</v>
      </c>
      <c r="U97">
        <f>IFERROR(VLOOKUP($E97,Adaptive!$A:$J,MATCH(U$8,Adaptive!$4:$4,0),FALSE),0)</f>
        <v>11198</v>
      </c>
      <c r="V97">
        <f>IFERROR(VLOOKUP($E97,Adaptive!$A:$J,MATCH(V$8,Adaptive!$4:$4,0),FALSE),0)</f>
        <v>0</v>
      </c>
      <c r="W97">
        <f>IFERROR(VLOOKUP($E97,Adaptive!$A:$J,MATCH(W$8,Adaptive!$4:$4,0),FALSE),0)</f>
        <v>0</v>
      </c>
      <c r="X97">
        <f>IFERROR(VLOOKUP($E97,Adaptive!$A:$J,MATCH(X$8,Adaptive!$4:$4,0),FALSE),0)</f>
        <v>0</v>
      </c>
      <c r="Y97" s="6">
        <f t="shared" si="16"/>
        <v>1235.9177785791549</v>
      </c>
      <c r="Z97" s="6" t="str">
        <f>_xlfn.XLOOKUP(B97,[1]Xref!$H:$H,[1]Xref!$A:$A)</f>
        <v>AU7389G</v>
      </c>
      <c r="AA97" s="6">
        <f t="shared" si="13"/>
        <v>14348</v>
      </c>
      <c r="AB97" s="10">
        <f t="shared" si="14"/>
        <v>12</v>
      </c>
      <c r="AC97">
        <f t="shared" si="15"/>
        <v>12</v>
      </c>
      <c r="AM97">
        <f t="shared" si="17"/>
        <v>0</v>
      </c>
      <c r="AN97">
        <f t="shared" si="18"/>
        <v>8400</v>
      </c>
    </row>
    <row r="98" spans="1:40">
      <c r="A98" s="10">
        <v>50</v>
      </c>
      <c r="B98" s="10">
        <v>247807</v>
      </c>
      <c r="C98" t="s">
        <v>358</v>
      </c>
      <c r="D98">
        <v>247807</v>
      </c>
      <c r="E98">
        <v>247807</v>
      </c>
      <c r="I98">
        <v>270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f>IFERROR(VLOOKUP($E98,Adaptive!$A:$J,MATCH(Q$8,Adaptive!$4:$4,0),FALSE),0)</f>
        <v>0</v>
      </c>
      <c r="R98">
        <f>IFERROR(VLOOKUP($E98,Adaptive!$A:$J,MATCH(R$8,Adaptive!$4:$4,0),FALSE),0)</f>
        <v>0</v>
      </c>
      <c r="S98">
        <f>IFERROR(VLOOKUP($E98,Adaptive!$A:$J,MATCH(S$8,Adaptive!$4:$4,0),FALSE),0)</f>
        <v>0</v>
      </c>
      <c r="T98">
        <f>IFERROR(VLOOKUP($E98,Adaptive!$A:$J,MATCH(T$8,Adaptive!$4:$4,0),FALSE),0)</f>
        <v>0</v>
      </c>
      <c r="U98">
        <f>IFERROR(VLOOKUP($E98,Adaptive!$A:$J,MATCH(U$8,Adaptive!$4:$4,0),FALSE),0)</f>
        <v>0</v>
      </c>
      <c r="V98">
        <f>IFERROR(VLOOKUP($E98,Adaptive!$A:$J,MATCH(V$8,Adaptive!$4:$4,0),FALSE),0)</f>
        <v>0</v>
      </c>
      <c r="W98">
        <f>IFERROR(VLOOKUP($E98,Adaptive!$A:$J,MATCH(W$8,Adaptive!$4:$4,0),FALSE),0)</f>
        <v>0</v>
      </c>
      <c r="X98">
        <f>IFERROR(VLOOKUP($E98,Adaptive!$A:$J,MATCH(X$8,Adaptive!$4:$4,0),FALSE),0)</f>
        <v>0</v>
      </c>
      <c r="Y98" s="6">
        <f t="shared" si="16"/>
        <v>0</v>
      </c>
      <c r="Z98" s="6" t="e">
        <f>_xlfn.XLOOKUP(B98,[1]Xref!$H:$H,[1]Xref!$A:$A)</f>
        <v>#N/A</v>
      </c>
      <c r="AA98" s="6">
        <f t="shared" si="13"/>
        <v>0</v>
      </c>
      <c r="AB98" s="10" t="e">
        <f t="shared" si="14"/>
        <v>#DIV/0!</v>
      </c>
      <c r="AC98" t="e">
        <f t="shared" si="15"/>
        <v>#DIV/0!</v>
      </c>
      <c r="AM98">
        <f t="shared" si="17"/>
        <v>0</v>
      </c>
      <c r="AN98">
        <v>0</v>
      </c>
    </row>
    <row r="99" spans="1:40">
      <c r="A99" s="10">
        <v>50</v>
      </c>
      <c r="B99" s="10">
        <v>247823</v>
      </c>
      <c r="C99" t="s">
        <v>359</v>
      </c>
      <c r="D99" t="s">
        <v>360</v>
      </c>
      <c r="E99" t="s">
        <v>361</v>
      </c>
      <c r="F99" s="19" t="s">
        <v>204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f>IFERROR(VLOOKUP($E99,Adaptive!$A:$J,MATCH(Q$8,Adaptive!$4:$4,0),FALSE),0)</f>
        <v>0</v>
      </c>
      <c r="R99">
        <f>IFERROR(VLOOKUP($E99,Adaptive!$A:$J,MATCH(R$8,Adaptive!$4:$4,0),FALSE),0)</f>
        <v>0</v>
      </c>
      <c r="S99">
        <f>IFERROR(VLOOKUP($E99,Adaptive!$A:$J,MATCH(S$8,Adaptive!$4:$4,0),FALSE),0)</f>
        <v>0</v>
      </c>
      <c r="T99">
        <f>IFERROR(VLOOKUP($E99,Adaptive!$A:$J,MATCH(T$8,Adaptive!$4:$4,0),FALSE),0)</f>
        <v>0</v>
      </c>
      <c r="U99">
        <f>IFERROR(VLOOKUP($E99,Adaptive!$A:$J,MATCH(U$8,Adaptive!$4:$4,0),FALSE),0)</f>
        <v>0</v>
      </c>
      <c r="V99">
        <f>IFERROR(VLOOKUP($E99,Adaptive!$A:$J,MATCH(V$8,Adaptive!$4:$4,0),FALSE),0)</f>
        <v>0</v>
      </c>
      <c r="W99">
        <f>IFERROR(VLOOKUP($E99,Adaptive!$A:$J,MATCH(W$8,Adaptive!$4:$4,0),FALSE),0)</f>
        <v>0</v>
      </c>
      <c r="X99">
        <f>IFERROR(VLOOKUP($E99,Adaptive!$A:$J,MATCH(X$8,Adaptive!$4:$4,0),FALSE),0)</f>
        <v>0</v>
      </c>
      <c r="Y99" s="6">
        <f t="shared" si="16"/>
        <v>2039.999999999997</v>
      </c>
      <c r="Z99" s="6" t="str">
        <f>_xlfn.XLOOKUP(B99,[1]Xref!$H:$H,[1]Xref!$A:$A)</f>
        <v>AU3426H</v>
      </c>
      <c r="AA99" s="6">
        <f t="shared" si="13"/>
        <v>0</v>
      </c>
      <c r="AB99" s="10">
        <f t="shared" si="14"/>
        <v>0</v>
      </c>
      <c r="AC99">
        <f t="shared" si="15"/>
        <v>0</v>
      </c>
      <c r="AM99">
        <f t="shared" si="17"/>
        <v>0</v>
      </c>
      <c r="AN99">
        <f t="shared" si="18"/>
        <v>0</v>
      </c>
    </row>
    <row r="100" spans="1:40">
      <c r="A100">
        <v>50</v>
      </c>
      <c r="B100">
        <v>248002</v>
      </c>
      <c r="C100" s="10" t="s">
        <v>362</v>
      </c>
      <c r="D100" t="s">
        <v>363</v>
      </c>
      <c r="E100" t="s">
        <v>364</v>
      </c>
      <c r="F100" s="19" t="s">
        <v>268</v>
      </c>
      <c r="G100">
        <v>194</v>
      </c>
      <c r="I100">
        <v>695</v>
      </c>
      <c r="J100">
        <v>708</v>
      </c>
      <c r="K100">
        <v>0</v>
      </c>
      <c r="L100">
        <v>0</v>
      </c>
      <c r="M100">
        <v>501</v>
      </c>
      <c r="N100">
        <v>708</v>
      </c>
      <c r="O100">
        <v>0</v>
      </c>
      <c r="P100">
        <v>0</v>
      </c>
      <c r="Q100">
        <f>IFERROR(VLOOKUP($E100,Adaptive!$A:$J,MATCH(Q$8,Adaptive!$4:$4,0),FALSE),0)</f>
        <v>0</v>
      </c>
      <c r="R100">
        <f>IFERROR(VLOOKUP($E100,Adaptive!$A:$J,MATCH(R$8,Adaptive!$4:$4,0),FALSE),0)</f>
        <v>0</v>
      </c>
      <c r="S100">
        <f>IFERROR(VLOOKUP($E100,Adaptive!$A:$J,MATCH(S$8,Adaptive!$4:$4,0),FALSE),0)</f>
        <v>0</v>
      </c>
      <c r="T100">
        <f>IFERROR(VLOOKUP($E100,Adaptive!$A:$J,MATCH(T$8,Adaptive!$4:$4,0),FALSE),0)</f>
        <v>0</v>
      </c>
      <c r="U100">
        <f>IFERROR(VLOOKUP($E100,Adaptive!$A:$J,MATCH(U$8,Adaptive!$4:$4,0),FALSE),0)</f>
        <v>0</v>
      </c>
      <c r="V100">
        <f>IFERROR(VLOOKUP($E100,Adaptive!$A:$J,MATCH(V$8,Adaptive!$4:$4,0),FALSE),0)</f>
        <v>0</v>
      </c>
      <c r="W100">
        <f>IFERROR(VLOOKUP($E100,Adaptive!$A:$J,MATCH(W$8,Adaptive!$4:$4,0),FALSE),0)</f>
        <v>0</v>
      </c>
      <c r="X100">
        <f>IFERROR(VLOOKUP($E100,Adaptive!$A:$J,MATCH(X$8,Adaptive!$4:$4,0),FALSE),0)</f>
        <v>0</v>
      </c>
      <c r="Y100" s="6">
        <f t="shared" si="16"/>
        <v>998.89245118040697</v>
      </c>
      <c r="Z100" s="6" t="str">
        <f>_xlfn.XLOOKUP(B100,[1]Xref!$H:$H,[1]Xref!$A:$A)</f>
        <v>AU7538B</v>
      </c>
      <c r="AA100" s="6">
        <f t="shared" si="13"/>
        <v>1209</v>
      </c>
      <c r="AB100" s="10">
        <f t="shared" si="14"/>
        <v>2</v>
      </c>
      <c r="AC100">
        <f t="shared" si="15"/>
        <v>2</v>
      </c>
      <c r="AM100">
        <f t="shared" si="17"/>
        <v>0</v>
      </c>
      <c r="AN100">
        <f t="shared" si="18"/>
        <v>1400</v>
      </c>
    </row>
    <row r="101" spans="1:40">
      <c r="A101" s="10">
        <v>12</v>
      </c>
      <c r="B101" s="10">
        <v>248213</v>
      </c>
      <c r="C101" t="s">
        <v>365</v>
      </c>
      <c r="D101" t="s">
        <v>366</v>
      </c>
      <c r="E101" t="s">
        <v>367</v>
      </c>
      <c r="F101" s="19" t="s">
        <v>368</v>
      </c>
      <c r="G101">
        <v>37680</v>
      </c>
      <c r="H101">
        <v>17898</v>
      </c>
      <c r="I101">
        <v>21103</v>
      </c>
      <c r="J101">
        <v>37562</v>
      </c>
      <c r="M101">
        <v>0</v>
      </c>
      <c r="N101">
        <v>3087</v>
      </c>
      <c r="Q101">
        <f>IFERROR(VLOOKUP($E101,Adaptive!$A:$J,MATCH(Q$8,Adaptive!$4:$4,0),FALSE),0)</f>
        <v>5966</v>
      </c>
      <c r="R101">
        <f>IFERROR(VLOOKUP($E101,Adaptive!$A:$J,MATCH(R$8,Adaptive!$4:$4,0),FALSE),0)</f>
        <v>11932</v>
      </c>
      <c r="S101">
        <f>IFERROR(VLOOKUP($E101,Adaptive!$A:$J,MATCH(S$8,Adaptive!$4:$4,0),FALSE),0)</f>
        <v>0</v>
      </c>
      <c r="T101">
        <f>IFERROR(VLOOKUP($E101,Adaptive!$A:$J,MATCH(T$8,Adaptive!$4:$4,0),FALSE),0)</f>
        <v>0</v>
      </c>
      <c r="U101">
        <f>IFERROR(VLOOKUP($E101,Adaptive!$A:$J,MATCH(U$8,Adaptive!$4:$4,0),FALSE),0)</f>
        <v>17898</v>
      </c>
      <c r="V101">
        <f>IFERROR(VLOOKUP($E101,Adaptive!$A:$J,MATCH(V$8,Adaptive!$4:$4,0),FALSE),0)</f>
        <v>0</v>
      </c>
      <c r="W101">
        <f>IFERROR(VLOOKUP($E101,Adaptive!$A:$J,MATCH(W$8,Adaptive!$4:$4,0),FALSE),0)</f>
        <v>0</v>
      </c>
      <c r="X101">
        <f>IFERROR(VLOOKUP($E101,Adaptive!$A:$J,MATCH(X$8,Adaptive!$4:$4,0),FALSE),0)</f>
        <v>0</v>
      </c>
      <c r="Y101" s="6">
        <f t="shared" si="16"/>
        <v>1306.5955013343471</v>
      </c>
      <c r="Z101" s="6" t="str">
        <f>_xlfn.XLOOKUP(B101,[1]Xref!$H:$H,[1]Xref!$A:$A)</f>
        <v>AUSR7980</v>
      </c>
      <c r="AA101" s="6">
        <f t="shared" si="13"/>
        <v>3087</v>
      </c>
      <c r="AB101" s="10">
        <f t="shared" si="14"/>
        <v>3</v>
      </c>
      <c r="AC101">
        <f t="shared" si="15"/>
        <v>-1</v>
      </c>
      <c r="AJ101">
        <v>1</v>
      </c>
      <c r="AM101">
        <f t="shared" si="17"/>
        <v>2800</v>
      </c>
      <c r="AN101">
        <v>0</v>
      </c>
    </row>
    <row r="102" spans="1:40">
      <c r="A102">
        <v>50</v>
      </c>
      <c r="B102">
        <v>248238</v>
      </c>
      <c r="C102" t="s">
        <v>369</v>
      </c>
      <c r="D102" t="s">
        <v>370</v>
      </c>
      <c r="E102" t="s">
        <v>371</v>
      </c>
      <c r="F102" s="19" t="s">
        <v>228</v>
      </c>
      <c r="I102">
        <v>0</v>
      </c>
      <c r="J102">
        <v>0</v>
      </c>
      <c r="K102">
        <v>300</v>
      </c>
      <c r="L102">
        <v>0</v>
      </c>
      <c r="M102">
        <v>0</v>
      </c>
      <c r="N102">
        <v>0</v>
      </c>
      <c r="O102">
        <v>300</v>
      </c>
      <c r="P102">
        <v>0</v>
      </c>
      <c r="Q102">
        <f>IFERROR(VLOOKUP($E102,Adaptive!$A:$J,MATCH(Q$8,Adaptive!$4:$4,0),FALSE),0)</f>
        <v>0</v>
      </c>
      <c r="R102">
        <f>IFERROR(VLOOKUP($E102,Adaptive!$A:$J,MATCH(R$8,Adaptive!$4:$4,0),FALSE),0)</f>
        <v>0</v>
      </c>
      <c r="S102">
        <f>IFERROR(VLOOKUP($E102,Adaptive!$A:$J,MATCH(S$8,Adaptive!$4:$4,0),FALSE),0)</f>
        <v>0</v>
      </c>
      <c r="T102">
        <f>IFERROR(VLOOKUP($E102,Adaptive!$A:$J,MATCH(T$8,Adaptive!$4:$4,0),FALSE),0)</f>
        <v>0</v>
      </c>
      <c r="U102">
        <f>IFERROR(VLOOKUP($E102,Adaptive!$A:$J,MATCH(U$8,Adaptive!$4:$4,0),FALSE),0)</f>
        <v>0</v>
      </c>
      <c r="V102">
        <f>IFERROR(VLOOKUP($E102,Adaptive!$A:$J,MATCH(V$8,Adaptive!$4:$4,0),FALSE),0)</f>
        <v>0</v>
      </c>
      <c r="W102">
        <f>IFERROR(VLOOKUP($E102,Adaptive!$A:$J,MATCH(W$8,Adaptive!$4:$4,0),FALSE),0)</f>
        <v>0</v>
      </c>
      <c r="X102">
        <f>IFERROR(VLOOKUP($E102,Adaptive!$A:$J,MATCH(X$8,Adaptive!$4:$4,0),FALSE),0)</f>
        <v>0</v>
      </c>
      <c r="Y102" s="6">
        <f t="shared" si="16"/>
        <v>2080.8743169398872</v>
      </c>
      <c r="Z102" s="6" t="str">
        <f>_xlfn.XLOOKUP(B102,[1]Xref!$H:$H,[1]Xref!$A:$A)</f>
        <v>AU5429D</v>
      </c>
      <c r="AA102" s="6">
        <f t="shared" si="13"/>
        <v>300</v>
      </c>
      <c r="AB102" s="10">
        <f t="shared" si="14"/>
        <v>1</v>
      </c>
      <c r="AC102">
        <f t="shared" si="15"/>
        <v>1</v>
      </c>
      <c r="AM102">
        <f t="shared" si="17"/>
        <v>0</v>
      </c>
      <c r="AN102">
        <f t="shared" si="18"/>
        <v>700</v>
      </c>
    </row>
    <row r="103" spans="1:40">
      <c r="A103">
        <v>50</v>
      </c>
      <c r="B103">
        <v>249359</v>
      </c>
      <c r="C103" t="s">
        <v>372</v>
      </c>
      <c r="D103" t="s">
        <v>373</v>
      </c>
      <c r="E103" t="s">
        <v>374</v>
      </c>
      <c r="F103" s="19" t="s">
        <v>375</v>
      </c>
      <c r="I103">
        <v>16054</v>
      </c>
      <c r="J103">
        <v>0</v>
      </c>
      <c r="K103">
        <v>6678</v>
      </c>
      <c r="L103">
        <v>0</v>
      </c>
      <c r="M103">
        <v>16054</v>
      </c>
      <c r="N103">
        <v>0</v>
      </c>
      <c r="O103">
        <v>6678</v>
      </c>
      <c r="P103">
        <v>0</v>
      </c>
      <c r="Q103">
        <f>IFERROR(VLOOKUP($E103,Adaptive!$A:$J,MATCH(Q$8,Adaptive!$4:$4,0),FALSE),0)</f>
        <v>0</v>
      </c>
      <c r="R103">
        <f>IFERROR(VLOOKUP($E103,Adaptive!$A:$J,MATCH(R$8,Adaptive!$4:$4,0),FALSE),0)</f>
        <v>0</v>
      </c>
      <c r="S103">
        <f>IFERROR(VLOOKUP($E103,Adaptive!$A:$J,MATCH(S$8,Adaptive!$4:$4,0),FALSE),0)</f>
        <v>0</v>
      </c>
      <c r="T103">
        <f>IFERROR(VLOOKUP($E103,Adaptive!$A:$J,MATCH(T$8,Adaptive!$4:$4,0),FALSE),0)</f>
        <v>0</v>
      </c>
      <c r="U103">
        <f>IFERROR(VLOOKUP($E103,Adaptive!$A:$J,MATCH(U$8,Adaptive!$4:$4,0),FALSE),0)</f>
        <v>0</v>
      </c>
      <c r="V103">
        <f>IFERROR(VLOOKUP($E103,Adaptive!$A:$J,MATCH(V$8,Adaptive!$4:$4,0),FALSE),0)</f>
        <v>0</v>
      </c>
      <c r="W103">
        <f>IFERROR(VLOOKUP($E103,Adaptive!$A:$J,MATCH(W$8,Adaptive!$4:$4,0),FALSE),0)</f>
        <v>0</v>
      </c>
      <c r="X103">
        <f>IFERROR(VLOOKUP($E103,Adaptive!$A:$J,MATCH(X$8,Adaptive!$4:$4,0),FALSE),0)</f>
        <v>0</v>
      </c>
      <c r="Y103" s="6">
        <f t="shared" si="16"/>
        <v>1557.1104043616519</v>
      </c>
      <c r="Z103" s="6" t="str">
        <f>_xlfn.XLOOKUP(B103,[1]Xref!$H:$H,[1]Xref!$A:$A)</f>
        <v>AU4782</v>
      </c>
      <c r="AA103" s="6">
        <f t="shared" si="13"/>
        <v>22732</v>
      </c>
      <c r="AB103" s="10">
        <f t="shared" si="14"/>
        <v>15</v>
      </c>
      <c r="AC103">
        <f t="shared" si="15"/>
        <v>15</v>
      </c>
      <c r="AM103">
        <f t="shared" si="17"/>
        <v>0</v>
      </c>
      <c r="AN103">
        <f t="shared" si="18"/>
        <v>10500</v>
      </c>
    </row>
    <row r="104" spans="1:40">
      <c r="A104">
        <v>50</v>
      </c>
      <c r="B104">
        <v>249361</v>
      </c>
      <c r="C104" t="s">
        <v>376</v>
      </c>
      <c r="D104" t="s">
        <v>377</v>
      </c>
      <c r="E104" t="s">
        <v>378</v>
      </c>
      <c r="F104" s="19" t="s">
        <v>375</v>
      </c>
      <c r="I104">
        <v>3494</v>
      </c>
      <c r="J104">
        <v>0</v>
      </c>
      <c r="K104">
        <v>5618</v>
      </c>
      <c r="L104">
        <v>0</v>
      </c>
      <c r="M104">
        <v>3494</v>
      </c>
      <c r="N104">
        <v>0</v>
      </c>
      <c r="O104">
        <v>5618</v>
      </c>
      <c r="P104">
        <v>0</v>
      </c>
      <c r="Q104">
        <f>IFERROR(VLOOKUP($E104,Adaptive!$A:$J,MATCH(Q$8,Adaptive!$4:$4,0),FALSE),0)</f>
        <v>0</v>
      </c>
      <c r="R104">
        <f>IFERROR(VLOOKUP($E104,Adaptive!$A:$J,MATCH(R$8,Adaptive!$4:$4,0),FALSE),0)</f>
        <v>0</v>
      </c>
      <c r="S104">
        <f>IFERROR(VLOOKUP($E104,Adaptive!$A:$J,MATCH(S$8,Adaptive!$4:$4,0),FALSE),0)</f>
        <v>0</v>
      </c>
      <c r="T104">
        <f>IFERROR(VLOOKUP($E104,Adaptive!$A:$J,MATCH(T$8,Adaptive!$4:$4,0),FALSE),0)</f>
        <v>0</v>
      </c>
      <c r="U104">
        <f>IFERROR(VLOOKUP($E104,Adaptive!$A:$J,MATCH(U$8,Adaptive!$4:$4,0),FALSE),0)</f>
        <v>0</v>
      </c>
      <c r="V104">
        <f>IFERROR(VLOOKUP($E104,Adaptive!$A:$J,MATCH(V$8,Adaptive!$4:$4,0),FALSE),0)</f>
        <v>0</v>
      </c>
      <c r="W104">
        <f>IFERROR(VLOOKUP($E104,Adaptive!$A:$J,MATCH(W$8,Adaptive!$4:$4,0),FALSE),0)</f>
        <v>0</v>
      </c>
      <c r="X104">
        <f>IFERROR(VLOOKUP($E104,Adaptive!$A:$J,MATCH(X$8,Adaptive!$4:$4,0),FALSE),0)</f>
        <v>0</v>
      </c>
      <c r="Y104" s="6">
        <f t="shared" si="16"/>
        <v>1557.1104043616519</v>
      </c>
      <c r="Z104" s="6" t="str">
        <f>_xlfn.XLOOKUP(B104,[1]Xref!$H:$H,[1]Xref!$A:$A)</f>
        <v>AU4782</v>
      </c>
      <c r="AA104" s="6">
        <f t="shared" ref="AA104" si="19">SUM(M104:P104)</f>
        <v>9112</v>
      </c>
      <c r="AB104" s="10">
        <f t="shared" ref="AB104" si="20">ROUNDUP(AA104/Y104,0)</f>
        <v>6</v>
      </c>
      <c r="AC104">
        <f t="shared" ref="AC104" si="21">AB104-SUMPRODUCT(AE104:AL104,$AE$6:$AL$6)</f>
        <v>6</v>
      </c>
      <c r="AM104">
        <f t="shared" si="17"/>
        <v>0</v>
      </c>
      <c r="AN104">
        <f t="shared" si="18"/>
        <v>4200</v>
      </c>
    </row>
    <row r="105" spans="1:40">
      <c r="F105" s="19"/>
      <c r="Y105" s="6"/>
      <c r="Z105" s="6"/>
      <c r="AA105" s="6"/>
    </row>
    <row r="106" spans="1:40">
      <c r="F106" s="19"/>
      <c r="G106">
        <f>SUM(G9:G104)</f>
        <v>250994</v>
      </c>
      <c r="H106">
        <f>SUM(H9:H104)</f>
        <v>167098</v>
      </c>
      <c r="M106">
        <f>SUM(M9:M105)</f>
        <v>99970</v>
      </c>
      <c r="N106">
        <f>SUM(N9:N105)</f>
        <v>69172</v>
      </c>
      <c r="O106">
        <f>SUM(O9:O105)</f>
        <v>59052</v>
      </c>
      <c r="P106">
        <f>SUM(P9:P105)</f>
        <v>161820</v>
      </c>
      <c r="Y106" s="6"/>
      <c r="Z106" s="6"/>
      <c r="AA106" s="6">
        <f>SUM(AA9:AA105)</f>
        <v>389543</v>
      </c>
      <c r="AM106">
        <f>SUBTOTAL(9,AM9:AM105)</f>
        <v>43400</v>
      </c>
      <c r="AN106">
        <f>SUM(AN9:AN104)</f>
        <v>155400</v>
      </c>
    </row>
    <row r="107" spans="1:40">
      <c r="Y107" s="6"/>
      <c r="Z107" s="6"/>
      <c r="AA107" s="6"/>
    </row>
    <row r="108" spans="1:40">
      <c r="F108" s="19"/>
      <c r="Y108" s="6"/>
      <c r="Z108" s="6"/>
      <c r="AA108" s="6"/>
    </row>
    <row r="109" spans="1:40">
      <c r="F109" s="19"/>
      <c r="Y109" s="6"/>
      <c r="Z109" s="6"/>
      <c r="AA109" s="6"/>
    </row>
    <row r="110" spans="1:40">
      <c r="F110" s="19"/>
      <c r="Y110" s="6"/>
      <c r="Z110" s="6"/>
      <c r="AA110" s="6"/>
    </row>
    <row r="111" spans="1:40">
      <c r="F111" s="19"/>
      <c r="Y111" s="6"/>
      <c r="Z111" s="6"/>
      <c r="AA111" s="6"/>
    </row>
    <row r="112" spans="1:40">
      <c r="F112" s="19"/>
      <c r="Y112" s="6"/>
      <c r="Z112" s="6"/>
      <c r="AA112" s="6"/>
    </row>
    <row r="113" spans="6:27">
      <c r="F113" s="19"/>
      <c r="Y113" s="6"/>
      <c r="Z113" s="6"/>
      <c r="AA113" s="6"/>
    </row>
    <row r="114" spans="6:27">
      <c r="F114" s="19"/>
      <c r="Y114" s="6"/>
      <c r="Z114" s="6"/>
      <c r="AA114" s="6"/>
    </row>
    <row r="115" spans="6:27">
      <c r="Y115" s="6"/>
      <c r="Z115" s="6"/>
      <c r="AA115" s="6"/>
    </row>
    <row r="116" spans="6:27">
      <c r="F116" s="19"/>
      <c r="Y116" s="6"/>
      <c r="Z116" s="6"/>
      <c r="AA116" s="6"/>
    </row>
    <row r="117" spans="6:27">
      <c r="F117" s="19"/>
      <c r="Y117" s="6"/>
      <c r="Z117" s="6"/>
      <c r="AA117" s="6"/>
    </row>
    <row r="118" spans="6:27">
      <c r="F118" s="19"/>
      <c r="Y118" s="6"/>
      <c r="Z118" s="6"/>
      <c r="AA118" s="6"/>
    </row>
    <row r="119" spans="6:27">
      <c r="F119" s="19"/>
      <c r="Y119" s="6"/>
      <c r="Z119" s="6"/>
      <c r="AA119" s="6"/>
    </row>
    <row r="120" spans="6:27">
      <c r="F120" s="19"/>
      <c r="Y120" s="6"/>
      <c r="Z120" s="6"/>
      <c r="AA120" s="6"/>
    </row>
    <row r="121" spans="6:27">
      <c r="F121" s="19"/>
      <c r="Y121" s="6"/>
      <c r="Z121" s="6"/>
      <c r="AA121" s="6"/>
    </row>
    <row r="125" spans="6:27">
      <c r="P125" s="20"/>
    </row>
  </sheetData>
  <autoFilter ref="A8:AO104" xr:uid="{00000000-0001-0000-0000-000000000000}"/>
  <conditionalFormatting sqref="AA8:AA121">
    <cfRule type="cellIs" dxfId="4" priority="3" operator="equal">
      <formula>0</formula>
    </cfRule>
    <cfRule type="cellIs" dxfId="3" priority="4" operator="lessThan">
      <formula>700</formula>
    </cfRule>
  </conditionalFormatting>
  <conditionalFormatting sqref="AC8:AC121">
    <cfRule type="cellIs" dxfId="2" priority="5" operator="greaterThan">
      <formula>0</formula>
    </cfRule>
  </conditionalFormatting>
  <conditionalFormatting sqref="AD1:AD8">
    <cfRule type="cellIs" dxfId="1" priority="2" operator="greaterThan">
      <formula>700</formula>
    </cfRule>
  </conditionalFormatting>
  <conditionalFormatting sqref="AE5:AL5">
    <cfRule type="expression" dxfId="0" priority="1">
      <formula>$AF$5&gt;$AF$4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27"/>
  <sheetViews>
    <sheetView workbookViewId="0">
      <selection activeCell="B4" sqref="B4:F4"/>
    </sheetView>
  </sheetViews>
  <sheetFormatPr defaultRowHeight="15"/>
  <cols>
    <col min="1" max="1" width="25.5703125" bestFit="1" customWidth="1"/>
    <col min="2" max="2" width="16.85546875" bestFit="1" customWidth="1"/>
    <col min="3" max="5" width="13.5703125" bestFit="1" customWidth="1"/>
    <col min="6" max="6" width="11.28515625" bestFit="1" customWidth="1"/>
  </cols>
  <sheetData>
    <row r="3" spans="1:6">
      <c r="A3" s="2" t="s">
        <v>379</v>
      </c>
      <c r="B3" s="2" t="s">
        <v>380</v>
      </c>
    </row>
    <row r="4" spans="1:6">
      <c r="A4" s="2" t="s">
        <v>381</v>
      </c>
      <c r="B4" s="27">
        <v>45882</v>
      </c>
      <c r="C4" s="27">
        <v>45883</v>
      </c>
      <c r="D4" s="27">
        <v>45884</v>
      </c>
      <c r="E4" s="27">
        <v>45887</v>
      </c>
      <c r="F4" s="27" t="s">
        <v>30</v>
      </c>
    </row>
    <row r="5" spans="1:6">
      <c r="A5" s="1" t="s">
        <v>281</v>
      </c>
      <c r="E5">
        <v>6808</v>
      </c>
      <c r="F5">
        <v>6808</v>
      </c>
    </row>
    <row r="6" spans="1:6">
      <c r="A6" s="1" t="s">
        <v>277</v>
      </c>
      <c r="C6">
        <v>6760</v>
      </c>
      <c r="F6">
        <v>6760</v>
      </c>
    </row>
    <row r="7" spans="1:6">
      <c r="A7" s="1" t="s">
        <v>150</v>
      </c>
      <c r="B7">
        <v>10822</v>
      </c>
      <c r="D7">
        <v>8300</v>
      </c>
      <c r="F7">
        <v>19122</v>
      </c>
    </row>
    <row r="8" spans="1:6">
      <c r="A8" s="1" t="s">
        <v>115</v>
      </c>
      <c r="C8">
        <v>3300</v>
      </c>
      <c r="F8">
        <v>3300</v>
      </c>
    </row>
    <row r="9" spans="1:6">
      <c r="A9" s="1" t="s">
        <v>154</v>
      </c>
      <c r="C9">
        <v>2202</v>
      </c>
      <c r="F9">
        <v>2202</v>
      </c>
    </row>
    <row r="10" spans="1:6">
      <c r="A10" s="1" t="s">
        <v>81</v>
      </c>
      <c r="C10">
        <v>7998</v>
      </c>
      <c r="F10">
        <v>7998</v>
      </c>
    </row>
    <row r="11" spans="1:6">
      <c r="A11" s="1" t="s">
        <v>127</v>
      </c>
      <c r="C11">
        <v>14764</v>
      </c>
      <c r="F11">
        <v>14764</v>
      </c>
    </row>
    <row r="12" spans="1:6">
      <c r="A12" s="1" t="s">
        <v>236</v>
      </c>
      <c r="C12">
        <v>7750</v>
      </c>
      <c r="F12">
        <v>7750</v>
      </c>
    </row>
    <row r="13" spans="1:6">
      <c r="A13" s="1" t="s">
        <v>382</v>
      </c>
      <c r="C13">
        <v>2200</v>
      </c>
      <c r="F13">
        <v>2200</v>
      </c>
    </row>
    <row r="14" spans="1:6">
      <c r="A14" s="1" t="s">
        <v>224</v>
      </c>
      <c r="C14">
        <v>1830</v>
      </c>
      <c r="F14">
        <v>1830</v>
      </c>
    </row>
    <row r="15" spans="1:6">
      <c r="A15" s="1" t="s">
        <v>297</v>
      </c>
      <c r="B15">
        <v>4050</v>
      </c>
      <c r="C15">
        <v>10110</v>
      </c>
      <c r="F15">
        <v>14160</v>
      </c>
    </row>
    <row r="16" spans="1:6">
      <c r="A16" s="1" t="s">
        <v>303</v>
      </c>
      <c r="C16">
        <v>2100</v>
      </c>
      <c r="F16">
        <v>2100</v>
      </c>
    </row>
    <row r="17" spans="1:6">
      <c r="A17" s="1" t="s">
        <v>357</v>
      </c>
      <c r="B17">
        <v>5000</v>
      </c>
      <c r="E17">
        <v>6198</v>
      </c>
      <c r="F17">
        <v>11198</v>
      </c>
    </row>
    <row r="18" spans="1:6">
      <c r="A18" s="1" t="s">
        <v>210</v>
      </c>
      <c r="C18">
        <v>2500</v>
      </c>
      <c r="F18">
        <v>2500</v>
      </c>
    </row>
    <row r="19" spans="1:6">
      <c r="A19" s="1" t="s">
        <v>290</v>
      </c>
      <c r="B19">
        <v>1500</v>
      </c>
      <c r="F19">
        <v>1500</v>
      </c>
    </row>
    <row r="20" spans="1:6">
      <c r="A20" s="1" t="s">
        <v>367</v>
      </c>
      <c r="B20">
        <v>5966</v>
      </c>
      <c r="C20">
        <v>11932</v>
      </c>
      <c r="F20">
        <v>17898</v>
      </c>
    </row>
    <row r="21" spans="1:6">
      <c r="A21" s="1" t="s">
        <v>91</v>
      </c>
      <c r="B21">
        <v>7782</v>
      </c>
      <c r="F21">
        <v>7782</v>
      </c>
    </row>
    <row r="22" spans="1:6">
      <c r="A22" s="1" t="s">
        <v>300</v>
      </c>
      <c r="B22">
        <v>1950</v>
      </c>
      <c r="F22">
        <v>1950</v>
      </c>
    </row>
    <row r="23" spans="1:6">
      <c r="A23" s="1" t="s">
        <v>112</v>
      </c>
      <c r="C23">
        <v>8400</v>
      </c>
      <c r="F23">
        <v>8400</v>
      </c>
    </row>
    <row r="24" spans="1:6">
      <c r="A24" s="1" t="s">
        <v>174</v>
      </c>
      <c r="C24">
        <v>1650</v>
      </c>
      <c r="F24">
        <v>1650</v>
      </c>
    </row>
    <row r="25" spans="1:6">
      <c r="A25" s="1" t="s">
        <v>180</v>
      </c>
      <c r="D25">
        <v>1902</v>
      </c>
      <c r="F25">
        <v>1902</v>
      </c>
    </row>
    <row r="26" spans="1:6">
      <c r="A26" s="1" t="s">
        <v>207</v>
      </c>
      <c r="D26">
        <v>17016</v>
      </c>
      <c r="E26">
        <v>8508</v>
      </c>
      <c r="F26">
        <v>25524</v>
      </c>
    </row>
    <row r="27" spans="1:6">
      <c r="A27" s="1" t="s">
        <v>30</v>
      </c>
      <c r="B27">
        <v>37070</v>
      </c>
      <c r="C27">
        <v>83496</v>
      </c>
      <c r="D27">
        <v>27218</v>
      </c>
      <c r="E27">
        <v>21514</v>
      </c>
      <c r="F27">
        <v>169298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0F9154DFC67B45B8AF6347A7D06835" ma:contentTypeVersion="15" ma:contentTypeDescription="Create a new document." ma:contentTypeScope="" ma:versionID="afe22169c8bae2f9cdf2a818c63ae738">
  <xsd:schema xmlns:xsd="http://www.w3.org/2001/XMLSchema" xmlns:xs="http://www.w3.org/2001/XMLSchema" xmlns:p="http://schemas.microsoft.com/office/2006/metadata/properties" xmlns:ns2="affc4faa-54fa-4fbc-9576-70f58351eb4c" xmlns:ns3="40a3ddfb-650a-48ed-a351-6ede4f445c23" targetNamespace="http://schemas.microsoft.com/office/2006/metadata/properties" ma:root="true" ma:fieldsID="38e5ee673e530fd1cf0aed5e01bb049c" ns2:_="" ns3:_="">
    <xsd:import namespace="affc4faa-54fa-4fbc-9576-70f58351eb4c"/>
    <xsd:import namespace="40a3ddfb-650a-48ed-a351-6ede4f445c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c4faa-54fa-4fbc-9576-70f58351eb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c716b14-d7aa-4186-bee5-5bce5a15c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3ddfb-650a-48ed-a351-6ede4f445c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df14edf-3a73-4bc3-bf7b-97d46f97a275}" ma:internalName="TaxCatchAll" ma:showField="CatchAllData" ma:web="40a3ddfb-650a-48ed-a351-6ede4f445c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fc4faa-54fa-4fbc-9576-70f58351eb4c">
      <Terms xmlns="http://schemas.microsoft.com/office/infopath/2007/PartnerControls"/>
    </lcf76f155ced4ddcb4097134ff3c332f>
    <TaxCatchAll xmlns="40a3ddfb-650a-48ed-a351-6ede4f445c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395755-8CE5-4D7B-81D8-626A7FF952A9}"/>
</file>

<file path=customXml/itemProps2.xml><?xml version="1.0" encoding="utf-8"?>
<ds:datastoreItem xmlns:ds="http://schemas.openxmlformats.org/officeDocument/2006/customXml" ds:itemID="{2A7006CF-5EAF-4AA3-BE1F-4651DC5D817F}"/>
</file>

<file path=customXml/itemProps3.xml><?xml version="1.0" encoding="utf-8"?>
<ds:datastoreItem xmlns:ds="http://schemas.openxmlformats.org/officeDocument/2006/customXml" ds:itemID="{31D77575-4582-45BF-90E9-07F01C3D66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Burke, Ana</dc:creator>
  <cp:keywords/>
  <dc:description/>
  <cp:lastModifiedBy/>
  <cp:revision/>
  <dcterms:created xsi:type="dcterms:W3CDTF">2023-09-27T15:29:33Z</dcterms:created>
  <dcterms:modified xsi:type="dcterms:W3CDTF">2025-08-15T17:15:01Z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0x010100A80F9154DFC67B45B8AF6347A7D06835</vt:lpwstr>
  </property>
  <property fmtid="{D5CDD505-2E9C-101B-9397-08002B2CF9AE}" pid="3" name="MediaServiceImageTags">
    <vt:lpwstr/>
  </property>
</Properties>
</file>